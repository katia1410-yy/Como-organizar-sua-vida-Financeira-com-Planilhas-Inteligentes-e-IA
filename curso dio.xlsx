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907813292d507/Documentos/"/>
    </mc:Choice>
  </mc:AlternateContent>
  <xr:revisionPtr revIDLastSave="151" documentId="13_ncr:1_{A7D34736-454D-4950-860E-E05550B51FAB}" xr6:coauthVersionLast="47" xr6:coauthVersionMax="47" xr10:uidLastSave="{2A0644E6-F356-4A19-B851-7F03D6DC273F}"/>
  <bookViews>
    <workbookView xWindow="-108" yWindow="-108" windowWidth="23256" windowHeight="12456" firstSheet="2" activeTab="2" xr2:uid="{FE32D082-3B6A-4598-92AB-6CD9CB9DD195}"/>
  </bookViews>
  <sheets>
    <sheet name="Data" sheetId="1" state="hidden" r:id="rId1"/>
    <sheet name="Controler" sheetId="2" state="hidden" r:id="rId2"/>
    <sheet name="Dashboard" sheetId="3" r:id="rId3"/>
    <sheet name="Caixinha" sheetId="4" state="hidden" r:id="rId4"/>
  </sheets>
  <definedNames>
    <definedName name="SegmentaçãodeDados_Mê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<sst xmlns="http://schemas.openxmlformats.org/spreadsheetml/2006/main" count="261" uniqueCount="80">
  <si>
    <t>Data</t>
  </si>
  <si>
    <t>Tipo</t>
  </si>
  <si>
    <t>Descrição</t>
  </si>
  <si>
    <t>Valor</t>
  </si>
  <si>
    <t>Categoria</t>
  </si>
  <si>
    <t>Status</t>
  </si>
  <si>
    <t>Operação Bancária</t>
  </si>
  <si>
    <t>Renda Fixa</t>
  </si>
  <si>
    <t>Salário mensal</t>
  </si>
  <si>
    <t>Transferência</t>
  </si>
  <si>
    <t>Recebido</t>
  </si>
  <si>
    <t>Pendente</t>
  </si>
  <si>
    <t>Pago</t>
  </si>
  <si>
    <t>Alimentação</t>
  </si>
  <si>
    <t>Transporte</t>
  </si>
  <si>
    <t>Gasolina</t>
  </si>
  <si>
    <t>Lazer</t>
  </si>
  <si>
    <t>Cinema</t>
  </si>
  <si>
    <t>Beleza</t>
  </si>
  <si>
    <t>Gastronomia</t>
  </si>
  <si>
    <t>Total Geral</t>
  </si>
  <si>
    <t>Rótulos de Linha</t>
  </si>
  <si>
    <t>Soma de Valor</t>
  </si>
  <si>
    <t>ENTRADA</t>
  </si>
  <si>
    <t>SAÍDA</t>
  </si>
  <si>
    <t>Compras no supermercado</t>
  </si>
  <si>
    <t>Débito Automático</t>
  </si>
  <si>
    <t>Cartão de Crédito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</si>
  <si>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</si>
  <si>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</si>
  <si>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</si>
  <si>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</si>
  <si>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</si>
  <si>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</si>
  <si>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</si>
  <si>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</si>
  <si>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</si>
  <si>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</si>
  <si>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</si>
  <si>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</si>
  <si>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</si>
  <si>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</si>
  <si>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</si>
  <si>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</si>
  <si>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Corte de cabelo e barba</t>
  </si>
  <si>
    <t>Pet Care</t>
  </si>
  <si>
    <t>Ração e petiscos para o cachorro</t>
  </si>
  <si>
    <t>Viagem</t>
  </si>
  <si>
    <t>Reserva de pousada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</si>
  <si>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</si>
  <si>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</si>
  <si>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</si>
  <si>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</si>
  <si>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</si>
  <si>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</si>
  <si>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</si>
  <si>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</si>
  <si>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</si>
  <si>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</si>
  <si>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</si>
  <si>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</si>
  <si>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</si>
  <si>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</si>
  <si>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</si>
  <si>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</si>
  <si>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</si>
  <si>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</si>
  <si>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</si>
  <si>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</si>
  <si>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</si>
  <si>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</si>
  <si>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</si>
  <si>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</si>
  <si>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</si>
  <si>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</si>
  <si>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Mês</t>
  </si>
  <si>
    <t>Data de Lançamento</t>
  </si>
  <si>
    <t>Depósito Reservado</t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</si>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</sst>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6F5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1" fillId="2" borderId="0" xfId="0" applyFont="1" applyFill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4" fontId="0" fillId="0" borderId="0" xfId="1" applyFont="1" applyAlignment="1">
      <alignment horizontal="center" wrapText="1"/>
    </xf>
    <xf numFmtId="1" fontId="0" fillId="0" borderId="0" xfId="0" applyNumberFormat="1"/>
    <xf numFmtId="1" fontId="0" fillId="0" borderId="0" xfId="0" applyNumberFormat="1" applyAlignment="1">
      <alignment horizontal="center" wrapText="1"/>
    </xf>
    <xf numFmtId="0" fontId="0" fillId="2" borderId="0" xfId="0" applyFill="1"/>
    <xf numFmtId="0" fontId="3" fillId="2" borderId="0" xfId="0" applyFont="1" applyFill="1"/>
    <xf numFmtId="44" fontId="0" fillId="0" borderId="0" xfId="1" applyFont="1"/>
    <xf numFmtId="44" fontId="0" fillId="0" borderId="0" xfId="0" applyNumberFormat="1"/>
    <xf numFmtId="0" fontId="0" fillId="4" borderId="0" xfId="0" applyFill="1"/>
  </cellXfs>
  <cellStyles count="2">
    <cellStyle name="Moeda" xfId="1" builtinId="4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B6F54"/>
        </patternFill>
      </fill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&quot;R$&quot;\ #,##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color theme="0"/>
      </font>
      <border>
        <bottom style="thin">
          <color theme="5"/>
        </bottom>
        <vertical/>
        <horizontal/>
      </border>
    </dxf>
    <dxf>
      <font>
        <color theme="0"/>
      </font>
      <fill>
        <patternFill>
          <bgColor rgb="FFFB6F54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</dxfs>
  <tableStyles count="1" defaultTableStyle="TableStyleMedium2" defaultPivotStyle="PivotStyleLight16">
    <tableStyle name="SlicerStyleDark2 2" pivot="0" table="0" count="10" xr9:uid="{E0053543-C423-43EF-A751-BF207EBF9ACE}">
      <tableStyleElement type="wholeTable" dxfId="11"/>
      <tableStyleElement type="headerRow" dxfId="10"/>
    </tableStyle>
  </tableStyles>
  <colors>
    <mruColors>
      <color rgb="FFFB6F54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0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rgb="FFFFFF00"/>
          </font>
          <fill>
            <patternFill patternType="solid">
              <fgColor theme="5"/>
              <bgColor theme="5" tint="0.39994506668294322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[curso dio.xlsx]Controler!Tabela dinâmica1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B6F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48182036946874E-2"/>
          <c:y val="0.15151515151515152"/>
          <c:w val="0.93674134949549215"/>
          <c:h val="0.52752067058811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6F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Controler!$A$4:$A$19</c:f>
              <c:strCache>
                <c:ptCount val="15"/>
                <c:pt idx="0">
                  <c:v>Alimentação</c:v>
                </c:pt>
                <c:pt idx="1">
                  <c:v>Lazer</c:v>
                </c:pt>
                <c:pt idx="2">
                  <c:v>Transporte</c:v>
                </c:pt>
                <c:pt idx="3">
                  <c:v>Beleza</c:v>
                </c:pt>
                <c:pt idx="4">
                  <c:v>Gastronomia</c:v>
                </c:pt>
                <c:pt idx="5">
                  <c:v>Saúde</c:v>
                </c:pt>
                <c:pt idx="6">
                  <c:v>Educação</c:v>
                </c:pt>
                <c:pt idx="7">
                  <c:v>Vestuário</c:v>
                </c:pt>
                <c:pt idx="8">
                  <c:v>Serviços</c:v>
                </c:pt>
                <c:pt idx="9">
                  <c:v>Eletrônicos</c:v>
                </c:pt>
                <c:pt idx="10">
                  <c:v>Utilidades Domésticas</c:v>
                </c:pt>
                <c:pt idx="11">
                  <c:v>Presentes</c:v>
                </c:pt>
                <c:pt idx="12">
                  <c:v>Pet Care</c:v>
                </c:pt>
                <c:pt idx="13">
                  <c:v>Viagem</c:v>
                </c:pt>
                <c:pt idx="14">
                  <c:v>Utilidades Dom.</c:v>
                </c:pt>
              </c:strCache>
            </c:strRef>
          </c:cat>
          <c:val>
            <c:numRef>
              <c:f>Controler!$B$4:$B$19</c:f>
              <c:numCache>
                <c:formatCode>"R$"\ #,##0.00</c:formatCode>
                <c:ptCount val="15"/>
                <c:pt idx="0">
                  <c:v>1600</c:v>
                </c:pt>
                <c:pt idx="1">
                  <c:v>500</c:v>
                </c:pt>
                <c:pt idx="2">
                  <c:v>800</c:v>
                </c:pt>
                <c:pt idx="3">
                  <c:v>330</c:v>
                </c:pt>
                <c:pt idx="4">
                  <c:v>570</c:v>
                </c:pt>
                <c:pt idx="5">
                  <c:v>970</c:v>
                </c:pt>
                <c:pt idx="6">
                  <c:v>1100</c:v>
                </c:pt>
                <c:pt idx="7">
                  <c:v>1500</c:v>
                </c:pt>
                <c:pt idx="8">
                  <c:v>1400</c:v>
                </c:pt>
                <c:pt idx="9">
                  <c:v>3000</c:v>
                </c:pt>
                <c:pt idx="10">
                  <c:v>1250</c:v>
                </c:pt>
                <c:pt idx="11">
                  <c:v>830</c:v>
                </c:pt>
                <c:pt idx="12">
                  <c:v>350</c:v>
                </c:pt>
                <c:pt idx="13">
                  <c:v>1250</c:v>
                </c:pt>
                <c:pt idx="1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5-4D22-B47C-01DB3182B7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601318448"/>
        <c:axId val="601319168"/>
      </c:barChart>
      <c:catAx>
        <c:axId val="60131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1319168"/>
        <c:crosses val="autoZero"/>
        <c:auto val="1"/>
        <c:lblAlgn val="ctr"/>
        <c:lblOffset val="100"/>
        <c:noMultiLvlLbl val="0"/>
      </c:catAx>
      <c:valAx>
        <c:axId val="60131916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6013184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[curso dio.xlsx]Controler!Tabela dinâmica1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B6F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B6F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53459081072419E-2"/>
          <c:y val="5.3200556268133302E-3"/>
          <c:w val="0.93674134949549215"/>
          <c:h val="0.52752067058811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Controler!$B$3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6F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Controler!$A$4:$A$19</c:f>
              <c:strCache>
                <c:ptCount val="15"/>
                <c:pt idx="0">
                  <c:v>Alimentação</c:v>
                </c:pt>
                <c:pt idx="1">
                  <c:v>Lazer</c:v>
                </c:pt>
                <c:pt idx="2">
                  <c:v>Transporte</c:v>
                </c:pt>
                <c:pt idx="3">
                  <c:v>Beleza</c:v>
                </c:pt>
                <c:pt idx="4">
                  <c:v>Gastronomia</c:v>
                </c:pt>
                <c:pt idx="5">
                  <c:v>Saúde</c:v>
                </c:pt>
                <c:pt idx="6">
                  <c:v>Educação</c:v>
                </c:pt>
                <c:pt idx="7">
                  <c:v>Vestuário</c:v>
                </c:pt>
                <c:pt idx="8">
                  <c:v>Serviços</c:v>
                </c:pt>
                <c:pt idx="9">
                  <c:v>Eletrônicos</c:v>
                </c:pt>
                <c:pt idx="10">
                  <c:v>Utilidades Domésticas</c:v>
                </c:pt>
                <c:pt idx="11">
                  <c:v>Presentes</c:v>
                </c:pt>
                <c:pt idx="12">
                  <c:v>Pet Care</c:v>
                </c:pt>
                <c:pt idx="13">
                  <c:v>Viagem</c:v>
                </c:pt>
                <c:pt idx="14">
                  <c:v>Utilidades Dom.</c:v>
                </c:pt>
              </c:strCache>
            </c:strRef>
          </c:cat>
          <c:val>
            <c:numRef>
              <c:f>Controler!$B$4:$B$19</c:f>
              <c:numCache>
                <c:formatCode>"R$"\ #,##0.00</c:formatCode>
                <c:ptCount val="15"/>
                <c:pt idx="0">
                  <c:v>1600</c:v>
                </c:pt>
                <c:pt idx="1">
                  <c:v>500</c:v>
                </c:pt>
                <c:pt idx="2">
                  <c:v>800</c:v>
                </c:pt>
                <c:pt idx="3">
                  <c:v>330</c:v>
                </c:pt>
                <c:pt idx="4">
                  <c:v>570</c:v>
                </c:pt>
                <c:pt idx="5">
                  <c:v>970</c:v>
                </c:pt>
                <c:pt idx="6">
                  <c:v>1100</c:v>
                </c:pt>
                <c:pt idx="7">
                  <c:v>1500</c:v>
                </c:pt>
                <c:pt idx="8">
                  <c:v>1400</c:v>
                </c:pt>
                <c:pt idx="9">
                  <c:v>3000</c:v>
                </c:pt>
                <c:pt idx="10">
                  <c:v>1250</c:v>
                </c:pt>
                <c:pt idx="11">
                  <c:v>830</c:v>
                </c:pt>
                <c:pt idx="12">
                  <c:v>350</c:v>
                </c:pt>
                <c:pt idx="13">
                  <c:v>1250</c:v>
                </c:pt>
                <c:pt idx="1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5-4D22-B47C-01DB3182B7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601318448"/>
        <c:axId val="601319168"/>
      </c:barChart>
      <c:catAx>
        <c:axId val="60131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1319168"/>
        <c:crosses val="autoZero"/>
        <c:auto val="1"/>
        <c:lblAlgn val="ctr"/>
        <c:lblOffset val="100"/>
        <c:noMultiLvlLbl val="0"/>
      </c:catAx>
      <c:valAx>
        <c:axId val="60131916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6013184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[curso dio.xlsx]Controler!Tabela dinâmica2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B6F5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B6F5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27594623393464"/>
          <c:y val="0.33333320723697279"/>
          <c:w val="0.81666666666666654"/>
          <c:h val="0.582785797608632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Controler!$F$3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6F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Controler!$E$4:$E$8</c:f>
              <c:strCache>
                <c:ptCount val="4"/>
                <c:pt idx="0">
                  <c:v>Renda Fixa</c:v>
                </c:pt>
                <c:pt idx="1">
                  <c:v>Investimentos</c:v>
                </c:pt>
                <c:pt idx="2">
                  <c:v>Freelance</c:v>
                </c:pt>
                <c:pt idx="3">
                  <c:v>Venda de ativos</c:v>
                </c:pt>
              </c:strCache>
            </c:strRef>
          </c:cat>
          <c:val>
            <c:numRef>
              <c:f>Controler!$F$4:$F$8</c:f>
              <c:numCache>
                <c:formatCode>"R$"\ #,##0.00</c:formatCode>
                <c:ptCount val="4"/>
                <c:pt idx="0">
                  <c:v>15000</c:v>
                </c:pt>
                <c:pt idx="1">
                  <c:v>800</c:v>
                </c:pt>
                <c:pt idx="2">
                  <c:v>1200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5-4A19-9220-DF7B84B3BE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5961048"/>
        <c:axId val="795962128"/>
      </c:barChart>
      <c:catAx>
        <c:axId val="79596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62128"/>
        <c:crosses val="autoZero"/>
        <c:auto val="1"/>
        <c:lblAlgn val="ctr"/>
        <c:lblOffset val="100"/>
        <c:noMultiLvlLbl val="0"/>
      </c:catAx>
      <c:valAx>
        <c:axId val="795962128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7959610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67240878778331E-2"/>
          <c:y val="0"/>
          <c:w val="0.98273275912122149"/>
          <c:h val="0.911315635656393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Caixinha!$C$3</c:f>
              <c:strCache>
                <c:ptCount val="1"/>
                <c:pt idx="0">
                  <c:v>Total reservado</c:v>
                </c:pt>
              </c:strCache>
            </c:strRef>
          </c:tx>
          <c:spPr>
            <a:gradFill>
              <a:gsLst>
                <a:gs pos="51467">
                  <a:schemeClr val="accent2">
                    <a:lumMod val="75000"/>
                  </a:schemeClr>
                </a:gs>
                <a:gs pos="0">
                  <a:schemeClr val="accent1">
                    <a:lumMod val="5000"/>
                    <a:lumOff val="9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1467">
                    <a:schemeClr val="accent2">
                      <a:lumMod val="75000"/>
                    </a:schemeClr>
                  </a:gs>
                  <a:gs pos="0">
                    <a:schemeClr val="accent1">
                      <a:lumMod val="5000"/>
                      <a:lumOff val="9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C8-474E-817A-3515A32532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Caixinha!$D$3</c:f>
              <c:numCache>
                <c:formatCode>_("R$"* #,##0.00_);_("R$"* \(#,##0.00\);_("R$"* "-"??_);_(@_)</c:formatCode>
                <c:ptCount val="1"/>
                <c:pt idx="0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C8-474E-817A-3515A3253287}"/>
            </c:ext>
          </c:extLst>
        </c:ser>
        <c:ser>
          <c:idx val="1"/>
          <c:order val="1"/>
          <c:tx>
            <c:strRef>
              <c:f>Caixinha!$C$4</c:f>
              <c:strCache>
                <c:ptCount val="1"/>
                <c:pt idx="0">
                  <c:v>Meta de Reserva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AC8-474E-817A-3515A32532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AC8-474E-817A-3515A32532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Caixinha!$D$4</c:f>
              <c:numCache>
                <c:formatCode>_("R$"* #,##0.00_);_("R$"* \(#,##0.00\);_("R$"* "-"??_);_(@_)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C8-474E-817A-3515A32532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98191736"/>
        <c:axId val="998190656"/>
      </c:barChart>
      <c:catAx>
        <c:axId val="99819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8190656"/>
        <c:crosses val="autoZero"/>
        <c:auto val="1"/>
        <c:lblAlgn val="ctr"/>
        <c:lblOffset val="100"/>
        <c:noMultiLvlLbl val="0"/>
      </c:catAx>
      <c:valAx>
        <c:axId val="99819065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9819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ata!A1"/><Relationship Id="rId13" Type="http://schemas.openxmlformats.org/officeDocument/2006/relationships/image" Target="../media/image9.svg"/><Relationship Id="rId3" Type="http://schemas.openxmlformats.org/officeDocument/2006/relationships/image" Target="../media/image1.png"/><Relationship Id="rId7" Type="http://schemas.openxmlformats.org/officeDocument/2006/relationships/image" Target="../media/image4.svg"/><Relationship Id="rId12" Type="http://schemas.openxmlformats.org/officeDocument/2006/relationships/image" Target="../media/image8.png"/><Relationship Id="rId2" Type="http://schemas.openxmlformats.org/officeDocument/2006/relationships/chart" Target="../charts/chart2.xml"/><Relationship Id="rId16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7.png"/><Relationship Id="rId5" Type="http://schemas.openxmlformats.org/officeDocument/2006/relationships/chart" Target="../charts/chart3.xml"/><Relationship Id="rId15" Type="http://schemas.openxmlformats.org/officeDocument/2006/relationships/image" Target="../media/image11.svg"/><Relationship Id="rId10" Type="http://schemas.openxmlformats.org/officeDocument/2006/relationships/image" Target="../media/image6.svg"/><Relationship Id="rId4" Type="http://schemas.openxmlformats.org/officeDocument/2006/relationships/image" Target="../media/image2.svg"/><Relationship Id="rId9" Type="http://schemas.openxmlformats.org/officeDocument/2006/relationships/image" Target="../media/image5.png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131705</xdr:colOff>
      <xdr:row>30</xdr:row>
      <xdr:rowOff>162070</xdr:rowOff>
    </xdr:from>
    <xdr:to>
      <xdr:col>16</xdr:col>
      <xdr:colOff>555088</xdr:colOff>
      <xdr:row>50</xdr:row>
      <xdr:rowOff>124440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08C2BF9-535E-BDEC-8E7C-E1DDE2D7F508}"/>
            </a:ext>
          </a:extLst>
        </xdr:cNvPr>
        <xdr:cNvGrpSpPr/>
      </xdr:nvGrpSpPr>
      <xdr:grpSpPr>
        <a:xfrm>
          <a:off x="3179705" y="5794244"/>
          <a:ext cx="9534253" cy="3717153"/>
          <a:chOff x="3179705" y="6489564"/>
          <a:chExt cx="9536517" cy="3627686"/>
        </a:xfrm>
      </xdr:grpSpPr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99CB565E-55B8-C04A-55EE-B9BDD8F07ECA}"/>
              </a:ext>
            </a:extLst>
          </xdr:cNvPr>
          <xdr:cNvGrpSpPr/>
        </xdr:nvGrpSpPr>
        <xdr:grpSpPr>
          <a:xfrm>
            <a:off x="3179705" y="6489564"/>
            <a:ext cx="9536517" cy="3627686"/>
            <a:chOff x="3903701" y="9661407"/>
            <a:chExt cx="9972224" cy="3537185"/>
          </a:xfrm>
        </xdr:grpSpPr>
        <xdr:grpSp>
          <xdr:nvGrpSpPr>
            <xdr:cNvPr id="31" name="Agrupar 30">
              <a:extLst>
                <a:ext uri="{FF2B5EF4-FFF2-40B4-BE49-F238E27FC236}">
                  <a16:creationId xmlns:a16="http://schemas.microsoft.com/office/drawing/2014/main" id="{2E03008D-257E-212E-6AD7-29457C98A734}"/>
                </a:ext>
              </a:extLst>
            </xdr:cNvPr>
            <xdr:cNvGrpSpPr/>
          </xdr:nvGrpSpPr>
          <xdr:grpSpPr>
            <a:xfrm>
              <a:off x="3903701" y="9661407"/>
              <a:ext cx="9972224" cy="3537185"/>
              <a:chOff x="4138978" y="772138"/>
              <a:chExt cx="9878061" cy="2266455"/>
            </a:xfrm>
          </xdr:grpSpPr>
          <xdr:sp macro="" textlink="">
            <xdr:nvSpPr>
              <xdr:cNvPr id="12" name="Retângulo: Cantos Arredondados 11">
                <a:extLst>
                  <a:ext uri="{FF2B5EF4-FFF2-40B4-BE49-F238E27FC236}">
                    <a16:creationId xmlns:a16="http://schemas.microsoft.com/office/drawing/2014/main" id="{B8C7A5E1-3D4C-4842-91A0-8119B850E211}"/>
                  </a:ext>
                </a:extLst>
              </xdr:cNvPr>
              <xdr:cNvSpPr/>
            </xdr:nvSpPr>
            <xdr:spPr>
              <a:xfrm>
                <a:off x="4148665" y="790222"/>
                <a:ext cx="9849557" cy="2248371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graphicFrame macro="">
            <xdr:nvGraphicFramePr>
              <xdr:cNvPr id="6" name="Gráfico 5">
                <a:extLst>
                  <a:ext uri="{FF2B5EF4-FFF2-40B4-BE49-F238E27FC236}">
                    <a16:creationId xmlns:a16="http://schemas.microsoft.com/office/drawing/2014/main" id="{DCB20E06-4A76-40D4-A774-DEC30C57652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270963" y="1288814"/>
              <a:ext cx="9172222" cy="141111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sp macro="" textlink="">
            <xdr:nvSpPr>
              <xdr:cNvPr id="27" name="Retângulo: Cantos Superiores Arredondados 26">
                <a:extLst>
                  <a:ext uri="{FF2B5EF4-FFF2-40B4-BE49-F238E27FC236}">
                    <a16:creationId xmlns:a16="http://schemas.microsoft.com/office/drawing/2014/main" id="{161ADAE3-674B-43A1-BAF9-2F683B836555}"/>
                  </a:ext>
                </a:extLst>
              </xdr:cNvPr>
              <xdr:cNvSpPr/>
            </xdr:nvSpPr>
            <xdr:spPr>
              <a:xfrm>
                <a:off x="4158075" y="796250"/>
                <a:ext cx="9858964" cy="639705"/>
              </a:xfrm>
              <a:prstGeom prst="round2SameRect">
                <a:avLst>
                  <a:gd name="adj1" fmla="val 50000"/>
                  <a:gd name="adj2" fmla="val 4412"/>
                </a:avLst>
              </a:prstGeom>
              <a:solidFill>
                <a:srgbClr val="FB6F5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">
            <xdr:nvSpPr>
              <xdr:cNvPr id="46" name="Retângulo: Cantos Arredondados 45">
                <a:extLst>
                  <a:ext uri="{FF2B5EF4-FFF2-40B4-BE49-F238E27FC236}">
                    <a16:creationId xmlns:a16="http://schemas.microsoft.com/office/drawing/2014/main" id="{3F7EA39E-FEA6-7873-E4B0-7B2953D8A374}"/>
                  </a:ext>
                </a:extLst>
              </xdr:cNvPr>
              <xdr:cNvSpPr/>
            </xdr:nvSpPr>
            <xdr:spPr>
              <a:xfrm>
                <a:off x="4138978" y="772138"/>
                <a:ext cx="9849556" cy="2248371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graphicFrame macro="">
            <xdr:nvGraphicFramePr>
              <xdr:cNvPr id="47" name="Gráfico 46">
                <a:extLst>
                  <a:ext uri="{FF2B5EF4-FFF2-40B4-BE49-F238E27FC236}">
                    <a16:creationId xmlns:a16="http://schemas.microsoft.com/office/drawing/2014/main" id="{DC7A6455-744E-79D0-BBAF-8A2D9FDAB91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261277" y="1270731"/>
              <a:ext cx="9172222" cy="141111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48" name="Retângulo: Cantos Superiores Arredondados 47">
                <a:extLst>
                  <a:ext uri="{FF2B5EF4-FFF2-40B4-BE49-F238E27FC236}">
                    <a16:creationId xmlns:a16="http://schemas.microsoft.com/office/drawing/2014/main" id="{6F777DFC-8E04-CEE0-F6D8-E164C5144643}"/>
                  </a:ext>
                </a:extLst>
              </xdr:cNvPr>
              <xdr:cNvSpPr/>
            </xdr:nvSpPr>
            <xdr:spPr>
              <a:xfrm>
                <a:off x="4148388" y="778166"/>
                <a:ext cx="9858964" cy="639705"/>
              </a:xfrm>
              <a:prstGeom prst="round2SameRect">
                <a:avLst>
                  <a:gd name="adj1" fmla="val 50000"/>
                  <a:gd name="adj2" fmla="val 4412"/>
                </a:avLst>
              </a:prstGeom>
              <a:solidFill>
                <a:srgbClr val="FB6F5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sp macro="" textlink="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8FC6ABF1-59C6-E373-6FD3-B129AA36B3A6}"/>
                </a:ext>
              </a:extLst>
            </xdr:cNvPr>
            <xdr:cNvSpPr txBox="1"/>
          </xdr:nvSpPr>
          <xdr:spPr>
            <a:xfrm>
              <a:off x="6227704" y="9943630"/>
              <a:ext cx="3405481" cy="460963"/>
            </a:xfrm>
            <a:prstGeom prst="rect">
              <a:avLst/>
            </a:prstGeom>
            <a:solidFill>
              <a:srgbClr val="FB6F54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100" kern="1200">
                  <a:latin typeface="Segoe UI" panose="020B0502040204020203" pitchFamily="34" charset="0"/>
                  <a:cs typeface="Segoe UI" panose="020B0502040204020203" pitchFamily="34" charset="0"/>
                </a:rPr>
                <a:t>	</a:t>
              </a:r>
              <a:r>
                <a:rPr lang="pt-BR" sz="2000" kern="1200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Gastos</a:t>
              </a:r>
              <a:endParaRPr lang="pt-BR" sz="1100" kern="1200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37" name="Gráfico 36" descr="Dinheiro voador estrutura de tópicos">
            <a:extLst>
              <a:ext uri="{FF2B5EF4-FFF2-40B4-BE49-F238E27FC236}">
                <a16:creationId xmlns:a16="http://schemas.microsoft.com/office/drawing/2014/main" id="{7E332D21-A7EF-4369-0162-B4EB0B5902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394745" y="6759710"/>
            <a:ext cx="664331" cy="68554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173269</xdr:colOff>
      <xdr:row>9</xdr:row>
      <xdr:rowOff>75022</xdr:rowOff>
    </xdr:from>
    <xdr:to>
      <xdr:col>8</xdr:col>
      <xdr:colOff>462541</xdr:colOff>
      <xdr:row>28</xdr:row>
      <xdr:rowOff>150281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7414D22D-6621-54E6-1608-5C7861C5F581}"/>
            </a:ext>
          </a:extLst>
        </xdr:cNvPr>
        <xdr:cNvGrpSpPr/>
      </xdr:nvGrpSpPr>
      <xdr:grpSpPr>
        <a:xfrm>
          <a:off x="3221269" y="1764674"/>
          <a:ext cx="4541011" cy="3642303"/>
          <a:chOff x="3179705" y="2561166"/>
          <a:chExt cx="5053659" cy="3694760"/>
        </a:xfrm>
      </xdr:grpSpPr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5283A7A3-2C73-011B-B395-E2D88A253B8C}"/>
              </a:ext>
            </a:extLst>
          </xdr:cNvPr>
          <xdr:cNvGrpSpPr/>
        </xdr:nvGrpSpPr>
        <xdr:grpSpPr>
          <a:xfrm>
            <a:off x="3179705" y="2561166"/>
            <a:ext cx="5053659" cy="3694760"/>
            <a:chOff x="3875853" y="385704"/>
            <a:chExt cx="5127037" cy="3471334"/>
          </a:xfrm>
        </xdr:grpSpPr>
        <xdr:grpSp>
          <xdr:nvGrpSpPr>
            <xdr:cNvPr id="30" name="Agrupar 29">
              <a:extLst>
                <a:ext uri="{FF2B5EF4-FFF2-40B4-BE49-F238E27FC236}">
                  <a16:creationId xmlns:a16="http://schemas.microsoft.com/office/drawing/2014/main" id="{C3E5F228-8960-8E27-3A8D-DE5F7632AD33}"/>
                </a:ext>
              </a:extLst>
            </xdr:cNvPr>
            <xdr:cNvGrpSpPr/>
          </xdr:nvGrpSpPr>
          <xdr:grpSpPr>
            <a:xfrm>
              <a:off x="3875853" y="385704"/>
              <a:ext cx="5127037" cy="3471334"/>
              <a:chOff x="4233334" y="3273778"/>
              <a:chExt cx="5672666" cy="3471334"/>
            </a:xfrm>
          </xdr:grpSpPr>
          <xdr:grpSp>
            <xdr:nvGrpSpPr>
              <xdr:cNvPr id="25" name="Agrupar 24">
                <a:extLst>
                  <a:ext uri="{FF2B5EF4-FFF2-40B4-BE49-F238E27FC236}">
                    <a16:creationId xmlns:a16="http://schemas.microsoft.com/office/drawing/2014/main" id="{39A18495-E2AF-31CE-6B18-62EB803938D5}"/>
                  </a:ext>
                </a:extLst>
              </xdr:cNvPr>
              <xdr:cNvGrpSpPr/>
            </xdr:nvGrpSpPr>
            <xdr:grpSpPr>
              <a:xfrm>
                <a:off x="4722518" y="3273778"/>
                <a:ext cx="5183482" cy="3471334"/>
                <a:chOff x="4045185" y="3537185"/>
                <a:chExt cx="5183482" cy="3471334"/>
              </a:xfrm>
            </xdr:grpSpPr>
            <xdr:sp macro="" textlink="">
              <xdr:nvSpPr>
                <xdr:cNvPr id="11" name="Retângulo: Cantos Arredondados 10">
                  <a:extLst>
                    <a:ext uri="{FF2B5EF4-FFF2-40B4-BE49-F238E27FC236}">
                      <a16:creationId xmlns:a16="http://schemas.microsoft.com/office/drawing/2014/main" id="{DE0CE083-FB6D-48CD-65DE-118277B39E9E}"/>
                    </a:ext>
                  </a:extLst>
                </xdr:cNvPr>
                <xdr:cNvSpPr/>
              </xdr:nvSpPr>
              <xdr:spPr>
                <a:xfrm>
                  <a:off x="4045185" y="3537185"/>
                  <a:ext cx="5183482" cy="3471334"/>
                </a:xfrm>
                <a:prstGeom prst="round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>
                    <a:solidFill>
                      <a:srgbClr val="FF0000"/>
                    </a:solidFill>
                  </a:endParaRPr>
                </a:p>
              </xdr:txBody>
            </xdr:sp>
            <xdr:sp macro="" textlink="">
              <xdr:nvSpPr>
                <xdr:cNvPr id="22" name="Retângulo: Cantos Superiores Arredondados 21">
                  <a:extLst>
                    <a:ext uri="{FF2B5EF4-FFF2-40B4-BE49-F238E27FC236}">
                      <a16:creationId xmlns:a16="http://schemas.microsoft.com/office/drawing/2014/main" id="{1C6E693F-1AE2-2A0D-DDA5-8E6408FF6737}"/>
                    </a:ext>
                  </a:extLst>
                </xdr:cNvPr>
                <xdr:cNvSpPr/>
              </xdr:nvSpPr>
              <xdr:spPr>
                <a:xfrm>
                  <a:off x="4063999" y="3555999"/>
                  <a:ext cx="5164668" cy="639705"/>
                </a:xfrm>
                <a:prstGeom prst="round2SameRect">
                  <a:avLst>
                    <a:gd name="adj1" fmla="val 50000"/>
                    <a:gd name="adj2" fmla="val 0"/>
                  </a:avLst>
                </a:prstGeom>
                <a:solidFill>
                  <a:srgbClr val="FB6F54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/>
                </a:p>
              </xdr:txBody>
            </xdr:sp>
          </xdr:grpSp>
          <xdr:graphicFrame macro="">
            <xdr:nvGraphicFramePr>
              <xdr:cNvPr id="26" name="Gráfico 25">
                <a:extLst>
                  <a:ext uri="{FF2B5EF4-FFF2-40B4-BE49-F238E27FC236}">
                    <a16:creationId xmlns:a16="http://schemas.microsoft.com/office/drawing/2014/main" id="{32B22454-C5F4-46E9-B097-B26964D22FC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233334" y="3687703"/>
              <a:ext cx="5202296" cy="26434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</xdr:grpSp>
        <xdr:sp macro="" textlink="">
          <xdr:nvSpPr>
            <xdr:cNvPr id="32" name="CaixaDeTexto 31">
              <a:extLst>
                <a:ext uri="{FF2B5EF4-FFF2-40B4-BE49-F238E27FC236}">
                  <a16:creationId xmlns:a16="http://schemas.microsoft.com/office/drawing/2014/main" id="{4BB37728-5090-02A4-874C-10C536CA6AE1}"/>
                </a:ext>
              </a:extLst>
            </xdr:cNvPr>
            <xdr:cNvSpPr txBox="1"/>
          </xdr:nvSpPr>
          <xdr:spPr>
            <a:xfrm>
              <a:off x="5258740" y="555038"/>
              <a:ext cx="3320815" cy="3480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 kern="12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Entrada</a:t>
              </a:r>
            </a:p>
          </xdr:txBody>
        </xdr:sp>
      </xdr:grpSp>
      <xdr:pic>
        <xdr:nvPicPr>
          <xdr:cNvPr id="39" name="Gráfico 38" descr="Registrar com preenchimento sólido">
            <a:extLst>
              <a:ext uri="{FF2B5EF4-FFF2-40B4-BE49-F238E27FC236}">
                <a16:creationId xmlns:a16="http://schemas.microsoft.com/office/drawing/2014/main" id="{6A0DA412-B234-EA70-B1BF-A5FA7F8A1F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666739" y="2580639"/>
            <a:ext cx="666212" cy="711467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9</xdr:row>
      <xdr:rowOff>75258</xdr:rowOff>
    </xdr:from>
    <xdr:to>
      <xdr:col>0</xdr:col>
      <xdr:colOff>2737556</xdr:colOff>
      <xdr:row>16</xdr:row>
      <xdr:rowOff>28222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2" name="Mês">
              <a:extLst>
                <a:ext uri="{FF2B5EF4-FFF2-40B4-BE49-F238E27FC236}">
                  <a16:creationId xmlns:a16="http://schemas.microsoft.com/office/drawing/2014/main" id="{1B53F819-8152-4B9F-80F0-49310C878C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64910"/>
              <a:ext cx="2737556" cy="12671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131705</xdr:colOff>
      <xdr:row>0</xdr:row>
      <xdr:rowOff>150280</xdr:rowOff>
    </xdr:from>
    <xdr:to>
      <xdr:col>17</xdr:col>
      <xdr:colOff>254714</xdr:colOff>
      <xdr:row>8</xdr:row>
      <xdr:rowOff>18576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84CC4F40-D106-4B43-F16E-8CBE6B8FC5F2}"/>
            </a:ext>
          </a:extLst>
        </xdr:cNvPr>
        <xdr:cNvGrpSpPr/>
      </xdr:nvGrpSpPr>
      <xdr:grpSpPr>
        <a:xfrm>
          <a:off x="3179705" y="150280"/>
          <a:ext cx="9841270" cy="1370209"/>
          <a:chOff x="3179705" y="150280"/>
          <a:chExt cx="9845743" cy="1334423"/>
        </a:xfrm>
      </xdr:grpSpPr>
      <xdr:sp macro="" textlink="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445BF124-5379-49DA-A54B-386E7F73ACF0}"/>
              </a:ext>
            </a:extLst>
          </xdr:cNvPr>
          <xdr:cNvSpPr/>
        </xdr:nvSpPr>
        <xdr:spPr>
          <a:xfrm>
            <a:off x="3217989" y="150280"/>
            <a:ext cx="9807459" cy="133442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>
              <a:solidFill>
                <a:srgbClr val="FF0000"/>
              </a:solidFill>
            </a:endParaRPr>
          </a:p>
        </xdr:txBody>
      </xdr:sp>
      <xdr:sp macro="" textlink="">
        <xdr:nvSpPr>
          <xdr:cNvPr id="44" name="Retângulo: Cantos Arredondados 43">
            <a:extLst>
              <a:ext uri="{FF2B5EF4-FFF2-40B4-BE49-F238E27FC236}">
                <a16:creationId xmlns:a16="http://schemas.microsoft.com/office/drawing/2014/main" id="{1345F502-DF92-499E-9373-8BC33199886B}"/>
              </a:ext>
            </a:extLst>
          </xdr:cNvPr>
          <xdr:cNvSpPr/>
        </xdr:nvSpPr>
        <xdr:spPr>
          <a:xfrm>
            <a:off x="3179705" y="430677"/>
            <a:ext cx="682501" cy="725232"/>
          </a:xfrm>
          <a:prstGeom prst="roundRect">
            <a:avLst/>
          </a:prstGeom>
          <a:solidFill>
            <a:srgbClr val="FB6F5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>
              <a:solidFill>
                <a:srgbClr val="FF0000"/>
              </a:solidFill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DA659809-2EE6-6084-4608-B1EE8D883B8B}"/>
              </a:ext>
            </a:extLst>
          </xdr:cNvPr>
          <xdr:cNvSpPr txBox="1"/>
        </xdr:nvSpPr>
        <xdr:spPr>
          <a:xfrm>
            <a:off x="3927652" y="169596"/>
            <a:ext cx="2374733" cy="54150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 b="1" kern="1200">
                <a:latin typeface="Segoe UI" panose="020B0502040204020203" pitchFamily="34" charset="0"/>
                <a:cs typeface="Segoe UI" panose="020B0502040204020203" pitchFamily="34" charset="0"/>
              </a:rPr>
              <a:t>Hello,</a:t>
            </a:r>
            <a:r>
              <a:rPr lang="pt-BR" sz="20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Kátia</a:t>
            </a:r>
            <a:endParaRPr lang="pt-BR" sz="20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9" name="CaixaDeTexto 48">
            <a:extLst>
              <a:ext uri="{FF2B5EF4-FFF2-40B4-BE49-F238E27FC236}">
                <a16:creationId xmlns:a16="http://schemas.microsoft.com/office/drawing/2014/main" id="{6A0F1A66-3BA0-4879-93F0-264500254F83}"/>
              </a:ext>
            </a:extLst>
          </xdr:cNvPr>
          <xdr:cNvSpPr txBox="1"/>
        </xdr:nvSpPr>
        <xdr:spPr>
          <a:xfrm>
            <a:off x="3927651" y="633744"/>
            <a:ext cx="4646622" cy="54150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 b="0" kern="1200">
                <a:solidFill>
                  <a:schemeClr val="bg2">
                    <a:lumMod val="9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Acompanhamento</a:t>
            </a:r>
            <a:r>
              <a:rPr lang="pt-BR" sz="2000" b="0" kern="1200" baseline="0">
                <a:solidFill>
                  <a:schemeClr val="bg2">
                    <a:lumMod val="9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Financeiro</a:t>
            </a:r>
          </a:p>
          <a:p>
            <a:endParaRPr lang="pt-BR" sz="20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53" name="Agrupar 52">
            <a:extLst>
              <a:ext uri="{FF2B5EF4-FFF2-40B4-BE49-F238E27FC236}">
                <a16:creationId xmlns:a16="http://schemas.microsoft.com/office/drawing/2014/main" id="{E08C6243-D432-CBED-9A43-8674703CEB56}"/>
              </a:ext>
            </a:extLst>
          </xdr:cNvPr>
          <xdr:cNvGrpSpPr/>
        </xdr:nvGrpSpPr>
        <xdr:grpSpPr>
          <a:xfrm>
            <a:off x="9200680" y="411339"/>
            <a:ext cx="2599116" cy="464148"/>
            <a:chOff x="9238075" y="404519"/>
            <a:chExt cx="2615259" cy="451556"/>
          </a:xfrm>
        </xdr:grpSpPr>
        <xdr:sp macro="" textlink="">
          <xdr:nvSpPr>
            <xdr:cNvPr id="50" name="Retângulo: Cantos Arredondados 49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F211A751-39BB-4D62-B17D-1A1FBE144954}"/>
                </a:ext>
              </a:extLst>
            </xdr:cNvPr>
            <xdr:cNvSpPr/>
          </xdr:nvSpPr>
          <xdr:spPr>
            <a:xfrm>
              <a:off x="9238075" y="404519"/>
              <a:ext cx="2615259" cy="451556"/>
            </a:xfrm>
            <a:prstGeom prst="roundRect">
              <a:avLst/>
            </a:prstGeom>
            <a:solidFill>
              <a:schemeClr val="bg2"/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100" kern="12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Pesquisar dados</a:t>
              </a:r>
            </a:p>
          </xdr:txBody>
        </xdr:sp>
        <xdr:pic>
          <xdr:nvPicPr>
            <xdr:cNvPr id="52" name="Gráfico 51" descr="Lupa com preenchimento sólido">
              <a:extLst>
                <a:ext uri="{FF2B5EF4-FFF2-40B4-BE49-F238E27FC236}">
                  <a16:creationId xmlns:a16="http://schemas.microsoft.com/office/drawing/2014/main" id="{16949E06-9059-6668-4393-1745D83F2E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10893778" y="479777"/>
              <a:ext cx="348074" cy="348074"/>
            </a:xfrm>
            <a:prstGeom prst="rect">
              <a:avLst/>
            </a:prstGeom>
          </xdr:spPr>
        </xdr:pic>
      </xdr:grpSp>
      <xdr:pic>
        <xdr:nvPicPr>
          <xdr:cNvPr id="3" name="Imagem 2" descr="Boneca 3d png | PNGWing">
            <a:extLst>
              <a:ext uri="{FF2B5EF4-FFF2-40B4-BE49-F238E27FC236}">
                <a16:creationId xmlns:a16="http://schemas.microsoft.com/office/drawing/2014/main" id="{A209B500-47C0-4EAA-8823-33A77934274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817" b="49621"/>
          <a:stretch/>
        </xdr:blipFill>
        <xdr:spPr bwMode="auto">
          <a:xfrm>
            <a:off x="3198403" y="546714"/>
            <a:ext cx="635755" cy="464149"/>
          </a:xfrm>
          <a:prstGeom prst="rect">
            <a:avLst/>
          </a:prstGeom>
          <a:noFill/>
        </xdr:spPr>
      </xdr:pic>
    </xdr:grpSp>
    <xdr:clientData/>
  </xdr:twoCellAnchor>
  <xdr:twoCellAnchor>
    <xdr:from>
      <xdr:col>0</xdr:col>
      <xdr:colOff>0</xdr:colOff>
      <xdr:row>1</xdr:row>
      <xdr:rowOff>37629</xdr:rowOff>
    </xdr:from>
    <xdr:to>
      <xdr:col>0</xdr:col>
      <xdr:colOff>3029185</xdr:colOff>
      <xdr:row>4</xdr:row>
      <xdr:rowOff>112889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237B85E-6708-DC96-2FC2-7B40252417A2}"/>
            </a:ext>
          </a:extLst>
        </xdr:cNvPr>
        <xdr:cNvSpPr/>
      </xdr:nvSpPr>
      <xdr:spPr>
        <a:xfrm>
          <a:off x="0" y="216370"/>
          <a:ext cx="3029185" cy="611482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 kern="1200"/>
            <a:t>Money</a:t>
          </a:r>
          <a:r>
            <a:rPr lang="pt-BR" sz="2800" b="1" kern="1200" baseline="0"/>
            <a:t> APP</a:t>
          </a:r>
          <a:endParaRPr lang="pt-BR" sz="2800" b="1" kern="1200"/>
        </a:p>
      </xdr:txBody>
    </xdr:sp>
    <xdr:clientData/>
  </xdr:twoCellAnchor>
  <xdr:twoCellAnchor editAs="oneCell">
    <xdr:from>
      <xdr:col>6</xdr:col>
      <xdr:colOff>235186</xdr:colOff>
      <xdr:row>10</xdr:row>
      <xdr:rowOff>122297</xdr:rowOff>
    </xdr:from>
    <xdr:to>
      <xdr:col>7</xdr:col>
      <xdr:colOff>114770</xdr:colOff>
      <xdr:row>13</xdr:row>
      <xdr:rowOff>77140</xdr:rowOff>
    </xdr:to>
    <xdr:pic>
      <xdr:nvPicPr>
        <xdr:cNvPr id="8" name="Gráfico 7" descr="Dinheiro estrutura de tópicos">
          <a:extLst>
            <a:ext uri="{FF2B5EF4-FFF2-40B4-BE49-F238E27FC236}">
              <a16:creationId xmlns:a16="http://schemas.microsoft.com/office/drawing/2014/main" id="{7C37A478-0856-542F-861F-2FA3C6BB5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6340593" y="1909704"/>
          <a:ext cx="491066" cy="491066"/>
        </a:xfrm>
        <a:prstGeom prst="rect">
          <a:avLst/>
        </a:prstGeom>
      </xdr:spPr>
    </xdr:pic>
    <xdr:clientData/>
  </xdr:twoCellAnchor>
  <xdr:twoCellAnchor>
    <xdr:from>
      <xdr:col>11</xdr:col>
      <xdr:colOff>586891</xdr:colOff>
      <xdr:row>9</xdr:row>
      <xdr:rowOff>41563</xdr:rowOff>
    </xdr:from>
    <xdr:to>
      <xdr:col>18</xdr:col>
      <xdr:colOff>483234</xdr:colOff>
      <xdr:row>28</xdr:row>
      <xdr:rowOff>116822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4CB292C6-0EB8-4AB3-BFEE-6C7B37D2F520}"/>
            </a:ext>
          </a:extLst>
        </xdr:cNvPr>
        <xdr:cNvGrpSpPr/>
      </xdr:nvGrpSpPr>
      <xdr:grpSpPr>
        <a:xfrm>
          <a:off x="9708804" y="1731215"/>
          <a:ext cx="4148082" cy="3642303"/>
          <a:chOff x="3615508" y="2561166"/>
          <a:chExt cx="4617855" cy="3694760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E1E3DBEE-B160-1788-9011-062FADB96211}"/>
              </a:ext>
            </a:extLst>
          </xdr:cNvPr>
          <xdr:cNvGrpSpPr/>
        </xdr:nvGrpSpPr>
        <xdr:grpSpPr>
          <a:xfrm>
            <a:off x="3615508" y="2561166"/>
            <a:ext cx="4617855" cy="3694760"/>
            <a:chOff x="4317984" y="385704"/>
            <a:chExt cx="4684905" cy="3471334"/>
          </a:xfrm>
        </xdr:grpSpPr>
        <xdr:grpSp>
          <xdr:nvGrpSpPr>
            <xdr:cNvPr id="23" name="Agrupar 22">
              <a:extLst>
                <a:ext uri="{FF2B5EF4-FFF2-40B4-BE49-F238E27FC236}">
                  <a16:creationId xmlns:a16="http://schemas.microsoft.com/office/drawing/2014/main" id="{B7A7D092-B880-2F36-6AFF-A09BFE0E086B}"/>
                </a:ext>
              </a:extLst>
            </xdr:cNvPr>
            <xdr:cNvGrpSpPr/>
          </xdr:nvGrpSpPr>
          <xdr:grpSpPr>
            <a:xfrm>
              <a:off x="4317984" y="385704"/>
              <a:ext cx="4684905" cy="3471334"/>
              <a:chOff x="4045185" y="3537185"/>
              <a:chExt cx="5183482" cy="3471334"/>
            </a:xfrm>
          </xdr:grpSpPr>
          <xdr:sp macro="" textlink="">
            <xdr:nvSpPr>
              <xdr:cNvPr id="28" name="Retângulo: Cantos Arredondados 27">
                <a:extLst>
                  <a:ext uri="{FF2B5EF4-FFF2-40B4-BE49-F238E27FC236}">
                    <a16:creationId xmlns:a16="http://schemas.microsoft.com/office/drawing/2014/main" id="{1F39AC34-CB99-2581-873F-F48DD7A83EB7}"/>
                  </a:ext>
                </a:extLst>
              </xdr:cNvPr>
              <xdr:cNvSpPr/>
            </xdr:nvSpPr>
            <xdr:spPr>
              <a:xfrm>
                <a:off x="4045185" y="3537185"/>
                <a:ext cx="5183482" cy="3471334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29" name="Retângulo: Cantos Superiores Arredondados 28">
                <a:extLst>
                  <a:ext uri="{FF2B5EF4-FFF2-40B4-BE49-F238E27FC236}">
                    <a16:creationId xmlns:a16="http://schemas.microsoft.com/office/drawing/2014/main" id="{754A67C8-8888-19B5-6B7B-99BA55B43ED2}"/>
                  </a:ext>
                </a:extLst>
              </xdr:cNvPr>
              <xdr:cNvSpPr/>
            </xdr:nvSpPr>
            <xdr:spPr>
              <a:xfrm>
                <a:off x="4063999" y="3555999"/>
                <a:ext cx="5164668" cy="639705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rgbClr val="FB6F5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</xdr:grpSp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AAD7098A-402C-6E93-3288-A92745FC4DBA}"/>
                </a:ext>
              </a:extLst>
            </xdr:cNvPr>
            <xdr:cNvSpPr txBox="1"/>
          </xdr:nvSpPr>
          <xdr:spPr>
            <a:xfrm>
              <a:off x="5258740" y="555038"/>
              <a:ext cx="3320815" cy="34807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 kern="12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Economias</a:t>
              </a:r>
            </a:p>
          </xdr:txBody>
        </xdr:sp>
      </xdr:grpSp>
      <xdr:pic>
        <xdr:nvPicPr>
          <xdr:cNvPr id="19" name="Gráfico 18" descr="Cofrinho estrutura de tópicos">
            <a:extLst>
              <a:ext uri="{FF2B5EF4-FFF2-40B4-BE49-F238E27FC236}">
                <a16:creationId xmlns:a16="http://schemas.microsoft.com/office/drawing/2014/main" id="{DBC4634C-9203-A46F-5F54-6A28D608D5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rcRect/>
          <a:stretch/>
        </xdr:blipFill>
        <xdr:spPr>
          <a:xfrm>
            <a:off x="3666739" y="2619083"/>
            <a:ext cx="666212" cy="634577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46563</xdr:colOff>
      <xdr:row>15</xdr:row>
      <xdr:rowOff>0</xdr:rowOff>
    </xdr:from>
    <xdr:to>
      <xdr:col>18</xdr:col>
      <xdr:colOff>242956</xdr:colOff>
      <xdr:row>27</xdr:row>
      <xdr:rowOff>77304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63C28856-D8E9-4FE4-97C9-41D4422A5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IA DA ROCHA RODRIGUES" refreshedDate="45669.653844097222" createdVersion="8" refreshedVersion="8" minRefreshableVersion="3" recordCount="48" xr:uid="{B9D627EE-C78B-4276-867C-8CD1795AA886}">
  <cacheSource type="worksheet">
    <worksheetSource name="tbl_operations"/>
  </cacheSource>
  <cacheFields count="8">
    <cacheField name="Data" numFmtId="0">
      <sharedItems containsNonDate="0" containsDate="1" containsString="0" containsBlank="1" minDate="2024-08-01T00:00:00" maxDate="2024-11-01T00:00:00"/>
    </cacheField>
    <cacheField name="Mês" numFmtId="1">
      <sharedItems containsSemiMixedTypes="0" containsString="0" containsNumber="1" containsInteger="1" minValue="1" maxValue="10" count="4">
        <n v="8"/>
        <n v="9"/>
        <n v="10"/>
        <n v="1"/>
      </sharedItems>
    </cacheField>
    <cacheField name="Tipo" numFmtId="0">
      <sharedItems containsBlank="1" count="3">
        <s v="ENTRADA"/>
        <s v="SAÍDA"/>
        <m/>
      </sharedItems>
    </cacheField>
    <cacheField name="Categoria" numFmtId="0">
      <sharedItems containsBlank="1" count="21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  <m/>
        <s v="Investimento" u="1"/>
      </sharedItems>
    </cacheField>
    <cacheField name="Descrição" numFmtId="0">
      <sharedItems containsBlank="1"/>
    </cacheField>
    <cacheField name="Valor" numFmtId="0">
      <sharedItems containsString="0" containsBlank="1" containsNumber="1" containsInteger="1" minValue="80" maxValue="5000"/>
    </cacheField>
    <cacheField name="Operação Bancária" numFmtId="0">
      <sharedItems containsBlank="1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 pivotCacheId="5308566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8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  <r>
    <m/>
    <x v="3"/>
    <x v="2"/>
    <x v="19"/>
    <m/>
    <m/>
    <m/>
    <m/>
  </r>
  <r>
    <m/>
    <x v="3"/>
    <x v="2"/>
    <x v="19"/>
    <m/>
    <m/>
    <m/>
    <m/>
  </r>
  <r>
    <m/>
    <x v="3"/>
    <x v="2"/>
    <x v="19"/>
    <m/>
    <m/>
    <m/>
    <m/>
  </r>
  <r>
    <m/>
    <x v="3"/>
    <x v="2"/>
    <x v="1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310B0-0187-424C-BFC9-B4034C88F29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19" firstHeaderRow="1" firstDataRow="1" firstDataCol="1" rowPageCount="1" colPageCount="1"/>
  <pivotFields count="8">
    <pivotField showAll="0"/>
    <pivotField numFmtId="1" showAll="0">
      <items count="5">
        <item x="3"/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22">
        <item x="1"/>
        <item x="3"/>
        <item x="0"/>
        <item x="2"/>
        <item x="19"/>
        <item x="12"/>
        <item x="15"/>
        <item m="1" x="20"/>
        <item x="4"/>
        <item x="5"/>
        <item x="6"/>
        <item x="7"/>
        <item x="8"/>
        <item x="9"/>
        <item x="10"/>
        <item x="11"/>
        <item x="13"/>
        <item x="14"/>
        <item x="16"/>
        <item x="17"/>
        <item x="18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16">
    <i>
      <x/>
    </i>
    <i>
      <x v="1"/>
    </i>
    <i>
      <x v="3"/>
    </i>
    <i>
      <x v="5"/>
    </i>
    <i>
      <x v="6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9"/>
    </i>
    <i t="grand">
      <x/>
    </i>
  </rowItems>
  <colItems count="1">
    <i/>
  </colItems>
  <pageFields count="1">
    <pageField fld="2" item="1" hier="-1"/>
  </pageFields>
  <dataFields count="1">
    <dataField name="Soma de Valor" fld="5" baseField="2" baseItem="0" numFmtId="164"/>
  </dataField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1CE75-6437-4389-8F01-3771EA015F8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E3:F8" firstHeaderRow="1" firstDataRow="1" firstDataCol="1" rowPageCount="1" colPageCount="1"/>
  <pivotFields count="8">
    <pivotField showAll="0"/>
    <pivotField numFmtId="1" showAll="0">
      <items count="5">
        <item x="3"/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22">
        <item x="1"/>
        <item x="3"/>
        <item x="0"/>
        <item x="2"/>
        <item x="19"/>
        <item x="12"/>
        <item x="15"/>
        <item m="1" x="20"/>
        <item x="4"/>
        <item x="5"/>
        <item x="6"/>
        <item x="7"/>
        <item x="8"/>
        <item x="9"/>
        <item x="10"/>
        <item x="11"/>
        <item x="13"/>
        <item x="14"/>
        <item x="16"/>
        <item x="17"/>
        <item x="18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5">
    <i>
      <x v="2"/>
    </i>
    <i>
      <x v="11"/>
    </i>
    <i>
      <x v="18"/>
    </i>
    <i>
      <x v="20"/>
    </i>
    <i t="grand">
      <x/>
    </i>
  </rowItems>
  <colItems count="1">
    <i/>
  </colItems>
  <pageFields count="1">
    <pageField fld="2" item="0" hier="-1"/>
  </pageFields>
  <dataFields count="1">
    <dataField name="Soma de Valor" fld="5" baseField="2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CF6585FB-3707-41A8-BC94-33C33984E117}" sourceName="Mês">
  <pivotTables>
    <pivotTable tabId="2" name="Tabela dinâmica1"/>
    <pivotTable tabId="2" name="Tabela dinâmica2"/>
  </pivotTables>
  <data>
    <tabular pivotCacheId="530856655">
      <items count="4">
        <i x="0" s="1"/>
        <i x="1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4F1CF0A9-C5DE-43CE-9A0A-258BD527924B}" cache="SegmentaçãodeDados_Mês" caption="Mês" style="SlicerStyleDark2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CDFB78-E804-4DB4-8CB2-9D27C1C3D445}" name="tbl_operations" displayName="tbl_operations" ref="A1:H45" totalsRowShown="0" dataDxfId="9">
  <autoFilter ref="A1:H45" xr:uid="{FECDFB78-E804-4DB4-8CB2-9D27C1C3D445}"/>
  <tableColumns count="8">
    <tableColumn id="1" xr3:uid="{20AA66B0-863F-40E8-AF3E-1A6838458291}" name="Data" dataDxfId="8"/>
    <tableColumn id="8" xr3:uid="{3384DC1F-B68E-4E18-B080-F2699BB7100B}" name="Mês" dataDxfId="7">
      <calculatedColumnFormula>MONTH(tbl_operations[[#This Row],[Data]])</calculatedColumnFormula>
    </tableColumn>
    <tableColumn id="2" xr3:uid="{E5663B56-564B-4A43-97B2-903A88B55D82}" name="Tipo" dataDxfId="6"/>
    <tableColumn id="3" xr3:uid="{A7026F0B-6029-4258-8ADA-B3351C918C1F}" name="Categoria" dataDxfId="5"/>
    <tableColumn id="4" xr3:uid="{8E84B0BE-25A1-4AB5-A9BD-9F8E9FA84A73}" name="Descrição" dataDxfId="4"/>
    <tableColumn id="5" xr3:uid="{01C5CABF-A01E-4313-ADE5-65CFE9B48906}" name="Valor" dataDxfId="3" dataCellStyle="Moeda"/>
    <tableColumn id="6" xr3:uid="{5B6EA87B-F2FA-4907-8611-65E34D716A91}" name="Operação Bancária" dataDxfId="2"/>
    <tableColumn id="7" xr3:uid="{1EA3E48F-6D6A-44B9-A6C6-A12EA84F8797}" name="Status" dataDxfId="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2D135-4134-416D-BAA7-72F19A7F4580}" name="Tabela2" displayName="Tabela2" ref="C6:D16" totalsRowShown="0" headerRowDxfId="0">
  <autoFilter ref="C6:D16" xr:uid="{94D2D135-4134-416D-BAA7-72F19A7F4580}"/>
  <tableColumns count="2">
    <tableColumn id="1" xr3:uid="{A2C2AE3A-E4FE-43BD-BD5D-F07513D3C2B9}" name="Data de Lançamento"/>
    <tableColumn id="2" xr3:uid="{51BC33F8-F0CE-491F-8390-C6BA7614A77C}" name="Depósito Reserv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4EC4-A995-49AC-8398-DB69BF12DCB4}">
  <sheetPr>
    <tabColor theme="3" tint="0.499984740745262"/>
  </sheetPr>
  <dimension ref="A1:H45"/>
  <sheetViews>
    <sheetView workbookViewId="0">
      <selection activeCell="C3" sqref="C3:D4"/>
    </sheetView>
  </sheetViews>
  <sheetFormatPr defaultRowHeight="14.4" x14ac:dyDescent="0.3"/>
  <cols>
    <col min="1" max="1" width="10.33203125" style="1" bestFit="1" customWidth="1"/>
    <col min="2" max="2" width="10.33203125" style="10" customWidth="1"/>
    <col min="3" max="3" width="10.109375" customWidth="1"/>
    <col min="4" max="4" width="11.21875" bestFit="1" customWidth="1"/>
    <col min="5" max="5" width="18.44140625" bestFit="1" customWidth="1"/>
    <col min="6" max="6" width="11.21875" style="2" bestFit="1" customWidth="1"/>
    <col min="7" max="7" width="19.109375" bestFit="1" customWidth="1"/>
    <col min="8" max="8" width="8.6640625" bestFit="1" customWidth="1"/>
  </cols>
  <sheetData>
    <row r="1" spans="1:8" x14ac:dyDescent="0.3">
      <c r="A1" s="1" t="s">
        <v>0</v>
      </c>
      <c r="B1" s="10" t="s">
        <v>75</v>
      </c>
      <c r="C1" t="s">
        <v>1</v>
      </c>
      <c r="D1" t="s">
        <v>4</v>
      </c>
      <c r="E1" t="s">
        <v>2</v>
      </c>
      <c r="F1" s="2" t="s">
        <v>3</v>
      </c>
      <c r="G1" t="s">
        <v>6</v>
      </c>
      <c r="H1" t="s">
        <v>5</v>
      </c>
    </row>
    <row r="2" spans="1:8" x14ac:dyDescent="0.3">
      <c r="A2" s="7">
        <v>45505</v>
      </c>
      <c r="B2" s="11">
        <f>MONTH(tbl_operations[[#This Row],[Data]])</f>
        <v>8</v>
      </c>
      <c r="C2" s="8" t="s">
        <v>23</v>
      </c>
      <c r="D2" s="8" t="s">
        <v>7</v>
      </c>
      <c r="E2" s="8" t="s">
        <v>8</v>
      </c>
      <c r="F2" s="9">
        <v>5000</v>
      </c>
      <c r="G2" s="8" t="s">
        <v>9</v>
      </c>
      <c r="H2" s="8" t="s">
        <v>10</v>
      </c>
    </row>
    <row r="3" spans="1:8" ht="28.8" x14ac:dyDescent="0.3">
      <c r="A3" s="7">
        <v>45505</v>
      </c>
      <c r="B3" s="11">
        <f>MONTH(tbl_operations[[#This Row],[Data]])</f>
        <v>8</v>
      </c>
      <c r="C3" s="8" t="s">
        <v>24</v>
      </c>
      <c r="D3" s="8" t="s">
        <v>13</v>
      </c>
      <c r="E3" s="8" t="s">
        <v>25</v>
      </c>
      <c r="F3" s="9">
        <v>550</v>
      </c>
      <c r="G3" s="8" t="s">
        <v>26</v>
      </c>
      <c r="H3" s="8" t="s">
        <v>11</v>
      </c>
    </row>
    <row r="4" spans="1:8" x14ac:dyDescent="0.3">
      <c r="A4" s="7">
        <v>45507</v>
      </c>
      <c r="B4" s="11">
        <f>MONTH(tbl_operations[[#This Row],[Data]])</f>
        <v>8</v>
      </c>
      <c r="C4" s="8" t="s">
        <v>24</v>
      </c>
      <c r="D4" s="8" t="s">
        <v>14</v>
      </c>
      <c r="E4" s="8" t="s">
        <v>15</v>
      </c>
      <c r="F4" s="9">
        <v>300</v>
      </c>
      <c r="G4" s="8" t="s">
        <v>27</v>
      </c>
      <c r="H4" s="8" t="s">
        <v>12</v>
      </c>
    </row>
    <row r="5" spans="1:8" x14ac:dyDescent="0.3">
      <c r="A5" s="7">
        <v>45509</v>
      </c>
      <c r="B5" s="11">
        <f>MONTH(tbl_operations[[#This Row],[Data]])</f>
        <v>8</v>
      </c>
      <c r="C5" s="8" t="s">
        <v>24</v>
      </c>
      <c r="D5" s="8" t="s">
        <v>16</v>
      </c>
      <c r="E5" s="8" t="s">
        <v>17</v>
      </c>
      <c r="F5" s="9">
        <v>120</v>
      </c>
      <c r="G5" s="8" t="s">
        <v>27</v>
      </c>
      <c r="H5" s="8" t="s">
        <v>12</v>
      </c>
    </row>
    <row r="6" spans="1:8" ht="28.8" x14ac:dyDescent="0.3">
      <c r="A6" s="7">
        <v>45511</v>
      </c>
      <c r="B6" s="11">
        <f>MONTH(tbl_operations[[#This Row],[Data]])</f>
        <v>8</v>
      </c>
      <c r="C6" s="8" t="s">
        <v>24</v>
      </c>
      <c r="D6" s="8" t="s">
        <v>28</v>
      </c>
      <c r="E6" s="8" t="s">
        <v>29</v>
      </c>
      <c r="F6" s="9">
        <v>250</v>
      </c>
      <c r="G6" s="8" t="s">
        <v>9</v>
      </c>
      <c r="H6" s="8" t="s">
        <v>12</v>
      </c>
    </row>
    <row r="7" spans="1:8" x14ac:dyDescent="0.3">
      <c r="A7" s="7">
        <v>45514</v>
      </c>
      <c r="B7" s="11">
        <f>MONTH(tbl_operations[[#This Row],[Data]])</f>
        <v>8</v>
      </c>
      <c r="C7" s="8" t="s">
        <v>24</v>
      </c>
      <c r="D7" s="8" t="s">
        <v>30</v>
      </c>
      <c r="E7" s="8" t="s">
        <v>31</v>
      </c>
      <c r="F7" s="9">
        <v>400</v>
      </c>
      <c r="G7" s="8" t="s">
        <v>26</v>
      </c>
      <c r="H7" s="8" t="s">
        <v>11</v>
      </c>
    </row>
    <row r="8" spans="1:8" ht="28.8" x14ac:dyDescent="0.3">
      <c r="A8" s="7">
        <v>45516</v>
      </c>
      <c r="B8" s="11">
        <f>MONTH(tbl_operations[[#This Row],[Data]])</f>
        <v>8</v>
      </c>
      <c r="C8" s="8" t="s">
        <v>24</v>
      </c>
      <c r="D8" s="8" t="s">
        <v>32</v>
      </c>
      <c r="E8" s="8" t="s">
        <v>33</v>
      </c>
      <c r="F8" s="9">
        <v>600</v>
      </c>
      <c r="G8" s="8" t="s">
        <v>27</v>
      </c>
      <c r="H8" s="8" t="s">
        <v>11</v>
      </c>
    </row>
    <row r="9" spans="1:8" ht="28.8" x14ac:dyDescent="0.3">
      <c r="A9" s="7">
        <v>45519</v>
      </c>
      <c r="B9" s="11">
        <f>MONTH(tbl_operations[[#This Row],[Data]])</f>
        <v>8</v>
      </c>
      <c r="C9" s="8" t="s">
        <v>23</v>
      </c>
      <c r="D9" s="8" t="s">
        <v>34</v>
      </c>
      <c r="E9" s="8" t="s">
        <v>35</v>
      </c>
      <c r="F9" s="9">
        <v>800</v>
      </c>
      <c r="G9" s="8" t="s">
        <v>9</v>
      </c>
      <c r="H9" s="8" t="s">
        <v>10</v>
      </c>
    </row>
    <row r="10" spans="1:8" ht="28.8" x14ac:dyDescent="0.3">
      <c r="A10" s="7">
        <v>45519</v>
      </c>
      <c r="B10" s="11">
        <f>MONTH(tbl_operations[[#This Row],[Data]])</f>
        <v>8</v>
      </c>
      <c r="C10" s="8" t="s">
        <v>24</v>
      </c>
      <c r="D10" s="8" t="s">
        <v>36</v>
      </c>
      <c r="E10" s="8" t="s">
        <v>37</v>
      </c>
      <c r="F10" s="9">
        <v>150</v>
      </c>
      <c r="G10" s="8" t="s">
        <v>9</v>
      </c>
      <c r="H10" s="8" t="s">
        <v>12</v>
      </c>
    </row>
    <row r="11" spans="1:8" ht="28.8" x14ac:dyDescent="0.3">
      <c r="A11" s="7">
        <v>45522</v>
      </c>
      <c r="B11" s="11">
        <f>MONTH(tbl_operations[[#This Row],[Data]])</f>
        <v>8</v>
      </c>
      <c r="C11" s="8" t="s">
        <v>24</v>
      </c>
      <c r="D11" s="8" t="s">
        <v>38</v>
      </c>
      <c r="E11" s="8" t="s">
        <v>39</v>
      </c>
      <c r="F11" s="9">
        <v>1200</v>
      </c>
      <c r="G11" s="8" t="s">
        <v>27</v>
      </c>
      <c r="H11" s="8" t="s">
        <v>11</v>
      </c>
    </row>
    <row r="12" spans="1:8" ht="28.8" x14ac:dyDescent="0.3">
      <c r="A12" s="7">
        <v>45524</v>
      </c>
      <c r="B12" s="11">
        <f>MONTH(tbl_operations[[#This Row],[Data]])</f>
        <v>8</v>
      </c>
      <c r="C12" s="8" t="s">
        <v>24</v>
      </c>
      <c r="D12" s="8" t="s">
        <v>40</v>
      </c>
      <c r="E12" s="8" t="s">
        <v>41</v>
      </c>
      <c r="F12" s="9">
        <v>450</v>
      </c>
      <c r="G12" s="8" t="s">
        <v>26</v>
      </c>
      <c r="H12" s="8" t="s">
        <v>12</v>
      </c>
    </row>
    <row r="13" spans="1:8" ht="28.8" x14ac:dyDescent="0.3">
      <c r="A13" s="7">
        <v>45526</v>
      </c>
      <c r="B13" s="11">
        <f>MONTH(tbl_operations[[#This Row],[Data]])</f>
        <v>8</v>
      </c>
      <c r="C13" s="8" t="s">
        <v>24</v>
      </c>
      <c r="D13" s="8" t="s">
        <v>42</v>
      </c>
      <c r="E13" s="8" t="s">
        <v>43</v>
      </c>
      <c r="F13" s="9">
        <v>180</v>
      </c>
      <c r="G13" s="8" t="s">
        <v>9</v>
      </c>
      <c r="H13" s="8" t="s">
        <v>11</v>
      </c>
    </row>
    <row r="14" spans="1:8" ht="28.8" x14ac:dyDescent="0.3">
      <c r="A14" s="7">
        <v>45528</v>
      </c>
      <c r="B14" s="11">
        <f>MONTH(tbl_operations[[#This Row],[Data]])</f>
        <v>8</v>
      </c>
      <c r="C14" s="8" t="s">
        <v>24</v>
      </c>
      <c r="D14" s="8" t="s">
        <v>18</v>
      </c>
      <c r="E14" s="8" t="s">
        <v>44</v>
      </c>
      <c r="F14" s="9">
        <v>80</v>
      </c>
      <c r="G14" s="8" t="s">
        <v>26</v>
      </c>
      <c r="H14" s="8" t="s">
        <v>12</v>
      </c>
    </row>
    <row r="15" spans="1:8" ht="28.8" x14ac:dyDescent="0.3">
      <c r="A15" s="7">
        <v>45532</v>
      </c>
      <c r="B15" s="11">
        <f>MONTH(tbl_operations[[#This Row],[Data]])</f>
        <v>8</v>
      </c>
      <c r="C15" s="8" t="s">
        <v>24</v>
      </c>
      <c r="D15" s="8" t="s">
        <v>45</v>
      </c>
      <c r="E15" s="8" t="s">
        <v>46</v>
      </c>
      <c r="F15" s="9">
        <v>200</v>
      </c>
      <c r="G15" s="8" t="s">
        <v>26</v>
      </c>
      <c r="H15" s="8" t="s">
        <v>12</v>
      </c>
    </row>
    <row r="16" spans="1:8" x14ac:dyDescent="0.3">
      <c r="A16" s="7">
        <v>45534</v>
      </c>
      <c r="B16" s="11">
        <f>MONTH(tbl_operations[[#This Row],[Data]])</f>
        <v>8</v>
      </c>
      <c r="C16" s="8" t="s">
        <v>24</v>
      </c>
      <c r="D16" s="8" t="s">
        <v>47</v>
      </c>
      <c r="E16" s="8" t="s">
        <v>48</v>
      </c>
      <c r="F16" s="9">
        <v>750</v>
      </c>
      <c r="G16" s="8" t="s">
        <v>9</v>
      </c>
      <c r="H16" s="8" t="s">
        <v>11</v>
      </c>
    </row>
    <row r="17" spans="1:8" ht="28.8" x14ac:dyDescent="0.3">
      <c r="A17" s="7">
        <v>45535</v>
      </c>
      <c r="B17" s="11">
        <f>MONTH(tbl_operations[[#This Row],[Data]])</f>
        <v>8</v>
      </c>
      <c r="C17" s="8" t="s">
        <v>24</v>
      </c>
      <c r="D17" s="8" t="s">
        <v>19</v>
      </c>
      <c r="E17" s="8" t="s">
        <v>49</v>
      </c>
      <c r="F17" s="9">
        <v>350</v>
      </c>
      <c r="G17" s="8" t="s">
        <v>27</v>
      </c>
      <c r="H17" s="8" t="s">
        <v>12</v>
      </c>
    </row>
    <row r="18" spans="1:8" x14ac:dyDescent="0.3">
      <c r="A18" s="7">
        <v>45536</v>
      </c>
      <c r="B18" s="11">
        <f>MONTH(tbl_operations[[#This Row],[Data]])</f>
        <v>9</v>
      </c>
      <c r="C18" s="8" t="s">
        <v>23</v>
      </c>
      <c r="D18" s="8" t="s">
        <v>7</v>
      </c>
      <c r="E18" s="8" t="s">
        <v>8</v>
      </c>
      <c r="F18" s="9">
        <v>5000</v>
      </c>
      <c r="G18" s="8" t="s">
        <v>9</v>
      </c>
      <c r="H18" s="8" t="s">
        <v>10</v>
      </c>
    </row>
    <row r="19" spans="1:8" ht="28.8" x14ac:dyDescent="0.3">
      <c r="A19" s="7">
        <v>45537</v>
      </c>
      <c r="B19" s="11">
        <f>MONTH(tbl_operations[[#This Row],[Data]])</f>
        <v>9</v>
      </c>
      <c r="C19" s="8" t="s">
        <v>24</v>
      </c>
      <c r="D19" s="8" t="s">
        <v>13</v>
      </c>
      <c r="E19" s="9" t="s">
        <v>25</v>
      </c>
      <c r="F19" s="9">
        <v>450</v>
      </c>
      <c r="G19" s="8" t="s">
        <v>26</v>
      </c>
      <c r="H19" s="8" t="s">
        <v>11</v>
      </c>
    </row>
    <row r="20" spans="1:8" x14ac:dyDescent="0.3">
      <c r="A20" s="7">
        <v>45540</v>
      </c>
      <c r="B20" s="11">
        <f>MONTH(tbl_operations[[#This Row],[Data]])</f>
        <v>9</v>
      </c>
      <c r="C20" s="8" t="s">
        <v>24</v>
      </c>
      <c r="D20" s="8" t="s">
        <v>14</v>
      </c>
      <c r="E20" s="9" t="s">
        <v>15</v>
      </c>
      <c r="F20" s="9">
        <v>300</v>
      </c>
      <c r="G20" s="8" t="s">
        <v>26</v>
      </c>
      <c r="H20" s="8" t="s">
        <v>12</v>
      </c>
    </row>
    <row r="21" spans="1:8" x14ac:dyDescent="0.3">
      <c r="A21" s="7">
        <v>45543</v>
      </c>
      <c r="B21" s="11">
        <f>MONTH(tbl_operations[[#This Row],[Data]])</f>
        <v>9</v>
      </c>
      <c r="C21" s="8" t="s">
        <v>24</v>
      </c>
      <c r="D21" s="8" t="s">
        <v>16</v>
      </c>
      <c r="E21" s="9" t="s">
        <v>50</v>
      </c>
      <c r="F21" s="9">
        <v>200</v>
      </c>
      <c r="G21" s="8" t="s">
        <v>9</v>
      </c>
      <c r="H21" s="8" t="s">
        <v>12</v>
      </c>
    </row>
    <row r="22" spans="1:8" x14ac:dyDescent="0.3">
      <c r="A22" s="7">
        <v>45546</v>
      </c>
      <c r="B22" s="11">
        <f>MONTH(tbl_operations[[#This Row],[Data]])</f>
        <v>9</v>
      </c>
      <c r="C22" s="8" t="s">
        <v>24</v>
      </c>
      <c r="D22" s="8" t="s">
        <v>28</v>
      </c>
      <c r="E22" s="9" t="s">
        <v>51</v>
      </c>
      <c r="F22" s="9">
        <v>600</v>
      </c>
      <c r="G22" s="8" t="s">
        <v>26</v>
      </c>
      <c r="H22" s="8" t="s">
        <v>11</v>
      </c>
    </row>
    <row r="23" spans="1:8" x14ac:dyDescent="0.3">
      <c r="A23" s="7">
        <v>45549</v>
      </c>
      <c r="B23" s="11">
        <f>MONTH(tbl_operations[[#This Row],[Data]])</f>
        <v>9</v>
      </c>
      <c r="C23" s="8" t="s">
        <v>24</v>
      </c>
      <c r="D23" s="8" t="s">
        <v>30</v>
      </c>
      <c r="E23" s="9" t="s">
        <v>31</v>
      </c>
      <c r="F23" s="9">
        <v>350</v>
      </c>
      <c r="G23" s="8" t="s">
        <v>9</v>
      </c>
      <c r="H23" s="8" t="s">
        <v>12</v>
      </c>
    </row>
    <row r="24" spans="1:8" x14ac:dyDescent="0.3">
      <c r="A24" s="7">
        <v>45552</v>
      </c>
      <c r="B24" s="11">
        <f>MONTH(tbl_operations[[#This Row],[Data]])</f>
        <v>9</v>
      </c>
      <c r="C24" s="8" t="s">
        <v>24</v>
      </c>
      <c r="D24" s="8" t="s">
        <v>32</v>
      </c>
      <c r="E24" s="9" t="s">
        <v>52</v>
      </c>
      <c r="F24" s="9">
        <v>500</v>
      </c>
      <c r="G24" s="8" t="s">
        <v>27</v>
      </c>
      <c r="H24" s="8" t="s">
        <v>11</v>
      </c>
    </row>
    <row r="25" spans="1:8" ht="28.8" x14ac:dyDescent="0.3">
      <c r="A25" s="7">
        <v>45555</v>
      </c>
      <c r="B25" s="11">
        <f>MONTH(tbl_operations[[#This Row],[Data]])</f>
        <v>9</v>
      </c>
      <c r="C25" s="8" t="s">
        <v>23</v>
      </c>
      <c r="D25" s="8" t="s">
        <v>53</v>
      </c>
      <c r="E25" s="8" t="s">
        <v>54</v>
      </c>
      <c r="F25" s="9">
        <v>1200</v>
      </c>
      <c r="G25" s="8" t="s">
        <v>9</v>
      </c>
      <c r="H25" s="8" t="s">
        <v>10</v>
      </c>
    </row>
    <row r="26" spans="1:8" ht="28.8" x14ac:dyDescent="0.3">
      <c r="A26" s="7">
        <v>45555</v>
      </c>
      <c r="B26" s="11">
        <f>MONTH(tbl_operations[[#This Row],[Data]])</f>
        <v>9</v>
      </c>
      <c r="C26" s="8" t="s">
        <v>24</v>
      </c>
      <c r="D26" s="8" t="s">
        <v>36</v>
      </c>
      <c r="E26" s="9" t="s">
        <v>55</v>
      </c>
      <c r="F26" s="9">
        <v>800</v>
      </c>
      <c r="G26" s="8" t="s">
        <v>9</v>
      </c>
      <c r="H26" s="8" t="s">
        <v>12</v>
      </c>
    </row>
    <row r="27" spans="1:8" ht="28.8" x14ac:dyDescent="0.3">
      <c r="A27" s="7">
        <v>45558</v>
      </c>
      <c r="B27" s="11">
        <f>MONTH(tbl_operations[[#This Row],[Data]])</f>
        <v>9</v>
      </c>
      <c r="C27" s="8" t="s">
        <v>24</v>
      </c>
      <c r="D27" s="8" t="s">
        <v>38</v>
      </c>
      <c r="E27" s="9" t="s">
        <v>56</v>
      </c>
      <c r="F27" s="9">
        <v>1500</v>
      </c>
      <c r="G27" s="8" t="s">
        <v>27</v>
      </c>
      <c r="H27" s="8" t="s">
        <v>11</v>
      </c>
    </row>
    <row r="28" spans="1:8" ht="28.8" x14ac:dyDescent="0.3">
      <c r="A28" s="7">
        <v>45561</v>
      </c>
      <c r="B28" s="11">
        <f>MONTH(tbl_operations[[#This Row],[Data]])</f>
        <v>9</v>
      </c>
      <c r="C28" s="8" t="s">
        <v>24</v>
      </c>
      <c r="D28" s="8" t="s">
        <v>57</v>
      </c>
      <c r="E28" s="9" t="s">
        <v>58</v>
      </c>
      <c r="F28" s="9">
        <v>250</v>
      </c>
      <c r="G28" s="8" t="s">
        <v>26</v>
      </c>
      <c r="H28" s="8" t="s">
        <v>12</v>
      </c>
    </row>
    <row r="29" spans="1:8" x14ac:dyDescent="0.3">
      <c r="A29" s="7">
        <v>45564</v>
      </c>
      <c r="B29" s="11">
        <f>MONTH(tbl_operations[[#This Row],[Data]])</f>
        <v>9</v>
      </c>
      <c r="C29" s="8" t="s">
        <v>24</v>
      </c>
      <c r="D29" s="8" t="s">
        <v>42</v>
      </c>
      <c r="E29" s="9" t="s">
        <v>59</v>
      </c>
      <c r="F29" s="9">
        <v>400</v>
      </c>
      <c r="G29" s="8" t="s">
        <v>27</v>
      </c>
      <c r="H29" s="8" t="s">
        <v>11</v>
      </c>
    </row>
    <row r="30" spans="1:8" x14ac:dyDescent="0.3">
      <c r="A30" s="7">
        <v>45566</v>
      </c>
      <c r="B30" s="11">
        <f>MONTH(tbl_operations[[#This Row],[Data]])</f>
        <v>10</v>
      </c>
      <c r="C30" s="8" t="s">
        <v>23</v>
      </c>
      <c r="D30" s="8" t="s">
        <v>7</v>
      </c>
      <c r="E30" s="8" t="s">
        <v>8</v>
      </c>
      <c r="F30" s="9">
        <v>5000</v>
      </c>
      <c r="G30" s="8" t="s">
        <v>9</v>
      </c>
      <c r="H30" s="8" t="s">
        <v>10</v>
      </c>
    </row>
    <row r="31" spans="1:8" ht="28.8" x14ac:dyDescent="0.3">
      <c r="A31" s="7">
        <v>45566</v>
      </c>
      <c r="B31" s="11">
        <f>MONTH(tbl_operations[[#This Row],[Data]])</f>
        <v>10</v>
      </c>
      <c r="C31" s="8" t="s">
        <v>24</v>
      </c>
      <c r="D31" s="8" t="s">
        <v>13</v>
      </c>
      <c r="E31" s="8" t="s">
        <v>25</v>
      </c>
      <c r="F31" s="9">
        <v>600</v>
      </c>
      <c r="G31" s="8" t="s">
        <v>26</v>
      </c>
      <c r="H31" s="8" t="s">
        <v>11</v>
      </c>
    </row>
    <row r="32" spans="1:8" ht="28.8" x14ac:dyDescent="0.3">
      <c r="A32" s="7">
        <v>45568</v>
      </c>
      <c r="B32" s="11">
        <f>MONTH(tbl_operations[[#This Row],[Data]])</f>
        <v>10</v>
      </c>
      <c r="C32" s="8" t="s">
        <v>24</v>
      </c>
      <c r="D32" s="8" t="s">
        <v>14</v>
      </c>
      <c r="E32" s="8" t="s">
        <v>60</v>
      </c>
      <c r="F32" s="9">
        <v>200</v>
      </c>
      <c r="G32" s="8" t="s">
        <v>27</v>
      </c>
      <c r="H32" s="8" t="s">
        <v>12</v>
      </c>
    </row>
    <row r="33" spans="1:8" x14ac:dyDescent="0.3">
      <c r="A33" s="7">
        <v>45570</v>
      </c>
      <c r="B33" s="11">
        <f>MONTH(tbl_operations[[#This Row],[Data]])</f>
        <v>10</v>
      </c>
      <c r="C33" s="8" t="s">
        <v>24</v>
      </c>
      <c r="D33" s="8" t="s">
        <v>16</v>
      </c>
      <c r="E33" s="8" t="s">
        <v>61</v>
      </c>
      <c r="F33" s="9">
        <v>180</v>
      </c>
      <c r="G33" s="8" t="s">
        <v>9</v>
      </c>
      <c r="H33" s="8" t="s">
        <v>12</v>
      </c>
    </row>
    <row r="34" spans="1:8" ht="28.8" x14ac:dyDescent="0.3">
      <c r="A34" s="7">
        <v>45573</v>
      </c>
      <c r="B34" s="11">
        <f>MONTH(tbl_operations[[#This Row],[Data]])</f>
        <v>10</v>
      </c>
      <c r="C34" s="8" t="s">
        <v>24</v>
      </c>
      <c r="D34" s="8" t="s">
        <v>28</v>
      </c>
      <c r="E34" s="8" t="s">
        <v>62</v>
      </c>
      <c r="F34" s="9">
        <v>120</v>
      </c>
      <c r="G34" s="8" t="s">
        <v>26</v>
      </c>
      <c r="H34" s="8" t="s">
        <v>11</v>
      </c>
    </row>
    <row r="35" spans="1:8" x14ac:dyDescent="0.3">
      <c r="A35" s="7">
        <v>45575</v>
      </c>
      <c r="B35" s="11">
        <f>MONTH(tbl_operations[[#This Row],[Data]])</f>
        <v>10</v>
      </c>
      <c r="C35" s="8" t="s">
        <v>24</v>
      </c>
      <c r="D35" s="8" t="s">
        <v>30</v>
      </c>
      <c r="E35" s="8" t="s">
        <v>63</v>
      </c>
      <c r="F35" s="9">
        <v>350</v>
      </c>
      <c r="G35" s="8" t="s">
        <v>27</v>
      </c>
      <c r="H35" s="8" t="s">
        <v>11</v>
      </c>
    </row>
    <row r="36" spans="1:8" x14ac:dyDescent="0.3">
      <c r="A36" s="7">
        <v>45578</v>
      </c>
      <c r="B36" s="11">
        <f>MONTH(tbl_operations[[#This Row],[Data]])</f>
        <v>10</v>
      </c>
      <c r="C36" s="8" t="s">
        <v>24</v>
      </c>
      <c r="D36" s="8" t="s">
        <v>32</v>
      </c>
      <c r="E36" s="8" t="s">
        <v>64</v>
      </c>
      <c r="F36" s="9">
        <v>400</v>
      </c>
      <c r="G36" s="8" t="s">
        <v>9</v>
      </c>
      <c r="H36" s="8" t="s">
        <v>12</v>
      </c>
    </row>
    <row r="37" spans="1:8" x14ac:dyDescent="0.3">
      <c r="A37" s="7">
        <v>45580</v>
      </c>
      <c r="B37" s="11">
        <f>MONTH(tbl_operations[[#This Row],[Data]])</f>
        <v>10</v>
      </c>
      <c r="C37" s="8" t="s">
        <v>24</v>
      </c>
      <c r="D37" s="8" t="s">
        <v>36</v>
      </c>
      <c r="E37" s="8" t="s">
        <v>65</v>
      </c>
      <c r="F37" s="9">
        <v>450</v>
      </c>
      <c r="G37" s="8" t="s">
        <v>26</v>
      </c>
      <c r="H37" s="8" t="s">
        <v>12</v>
      </c>
    </row>
    <row r="38" spans="1:8" ht="43.2" x14ac:dyDescent="0.3">
      <c r="A38" s="7">
        <v>45583</v>
      </c>
      <c r="B38" s="11">
        <f>MONTH(tbl_operations[[#This Row],[Data]])</f>
        <v>10</v>
      </c>
      <c r="C38" s="8" t="s">
        <v>23</v>
      </c>
      <c r="D38" s="8" t="s">
        <v>66</v>
      </c>
      <c r="E38" s="8" t="s">
        <v>67</v>
      </c>
      <c r="F38" s="9">
        <v>1500</v>
      </c>
      <c r="G38" s="8" t="s">
        <v>9</v>
      </c>
      <c r="H38" s="8" t="s">
        <v>10</v>
      </c>
    </row>
    <row r="39" spans="1:8" ht="28.8" x14ac:dyDescent="0.3">
      <c r="A39" s="7">
        <v>45583</v>
      </c>
      <c r="B39" s="11">
        <f>MONTH(tbl_operations[[#This Row],[Data]])</f>
        <v>10</v>
      </c>
      <c r="C39" s="8" t="s">
        <v>24</v>
      </c>
      <c r="D39" s="8" t="s">
        <v>38</v>
      </c>
      <c r="E39" s="8" t="s">
        <v>68</v>
      </c>
      <c r="F39" s="9">
        <v>300</v>
      </c>
      <c r="G39" s="8" t="s">
        <v>27</v>
      </c>
      <c r="H39" s="8" t="s">
        <v>11</v>
      </c>
    </row>
    <row r="40" spans="1:8" ht="28.8" x14ac:dyDescent="0.3">
      <c r="A40" s="7">
        <v>45585</v>
      </c>
      <c r="B40" s="11">
        <f>MONTH(tbl_operations[[#This Row],[Data]])</f>
        <v>10</v>
      </c>
      <c r="C40" s="8" t="s">
        <v>24</v>
      </c>
      <c r="D40" s="8" t="s">
        <v>40</v>
      </c>
      <c r="E40" s="8" t="s">
        <v>69</v>
      </c>
      <c r="F40" s="9">
        <v>800</v>
      </c>
      <c r="G40" s="8" t="s">
        <v>9</v>
      </c>
      <c r="H40" s="8" t="s">
        <v>12</v>
      </c>
    </row>
    <row r="41" spans="1:8" ht="28.8" x14ac:dyDescent="0.3">
      <c r="A41" s="7">
        <v>45587</v>
      </c>
      <c r="B41" s="11">
        <f>MONTH(tbl_operations[[#This Row],[Data]])</f>
        <v>10</v>
      </c>
      <c r="C41" s="8" t="s">
        <v>24</v>
      </c>
      <c r="D41" s="8" t="s">
        <v>42</v>
      </c>
      <c r="E41" s="8" t="s">
        <v>70</v>
      </c>
      <c r="F41" s="9">
        <v>250</v>
      </c>
      <c r="G41" s="8" t="s">
        <v>27</v>
      </c>
      <c r="H41" s="8" t="s">
        <v>11</v>
      </c>
    </row>
    <row r="42" spans="1:8" x14ac:dyDescent="0.3">
      <c r="A42" s="7">
        <v>45589</v>
      </c>
      <c r="B42" s="11">
        <f>MONTH(tbl_operations[[#This Row],[Data]])</f>
        <v>10</v>
      </c>
      <c r="C42" s="8" t="s">
        <v>24</v>
      </c>
      <c r="D42" s="8" t="s">
        <v>45</v>
      </c>
      <c r="E42" s="8" t="s">
        <v>71</v>
      </c>
      <c r="F42" s="9">
        <v>150</v>
      </c>
      <c r="G42" s="8" t="s">
        <v>26</v>
      </c>
      <c r="H42" s="8" t="s">
        <v>12</v>
      </c>
    </row>
    <row r="43" spans="1:8" x14ac:dyDescent="0.3">
      <c r="A43" s="7">
        <v>45591</v>
      </c>
      <c r="B43" s="11">
        <f>MONTH(tbl_operations[[#This Row],[Data]])</f>
        <v>10</v>
      </c>
      <c r="C43" s="8" t="s">
        <v>24</v>
      </c>
      <c r="D43" s="8" t="s">
        <v>18</v>
      </c>
      <c r="E43" s="8" t="s">
        <v>72</v>
      </c>
      <c r="F43" s="9">
        <v>250</v>
      </c>
      <c r="G43" s="8" t="s">
        <v>9</v>
      </c>
      <c r="H43" s="8" t="s">
        <v>11</v>
      </c>
    </row>
    <row r="44" spans="1:8" ht="28.8" x14ac:dyDescent="0.3">
      <c r="A44" s="7">
        <v>45595</v>
      </c>
      <c r="B44" s="11">
        <f>MONTH(tbl_operations[[#This Row],[Data]])</f>
        <v>10</v>
      </c>
      <c r="C44" s="8" t="s">
        <v>24</v>
      </c>
      <c r="D44" s="8" t="s">
        <v>19</v>
      </c>
      <c r="E44" s="8" t="s">
        <v>73</v>
      </c>
      <c r="F44" s="9">
        <v>220</v>
      </c>
      <c r="G44" s="8" t="s">
        <v>9</v>
      </c>
      <c r="H44" s="8" t="s">
        <v>11</v>
      </c>
    </row>
    <row r="45" spans="1:8" ht="37.200000000000003" customHeight="1" x14ac:dyDescent="0.3">
      <c r="A45" s="7">
        <v>45596</v>
      </c>
      <c r="B45" s="11">
        <f>MONTH(tbl_operations[[#This Row],[Data]])</f>
        <v>10</v>
      </c>
      <c r="C45" s="8" t="s">
        <v>24</v>
      </c>
      <c r="D45" s="8" t="s">
        <v>47</v>
      </c>
      <c r="E45" s="8" t="s">
        <v>74</v>
      </c>
      <c r="F45" s="9">
        <v>500</v>
      </c>
      <c r="G45" s="8" t="s">
        <v>27</v>
      </c>
      <c r="H45" s="8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D673-2ED8-4E49-AAE9-E41FC43CE2CA}">
  <sheetPr>
    <tabColor theme="3" tint="0.749992370372631"/>
  </sheetPr>
  <dimension ref="A1:F19"/>
  <sheetViews>
    <sheetView workbookViewId="0">
      <selection activeCell="C3" sqref="C3:D4"/>
    </sheetView>
  </sheetViews>
  <sheetFormatPr defaultRowHeight="14.4" x14ac:dyDescent="0.3"/>
  <cols>
    <col min="1" max="1" width="19.109375" bestFit="1" customWidth="1"/>
    <col min="2" max="2" width="12.88671875" bestFit="1" customWidth="1"/>
    <col min="5" max="5" width="16.77734375" bestFit="1" customWidth="1"/>
    <col min="6" max="6" width="12.88671875" bestFit="1" customWidth="1"/>
  </cols>
  <sheetData>
    <row r="1" spans="1:6" x14ac:dyDescent="0.3">
      <c r="A1" s="3" t="s">
        <v>1</v>
      </c>
      <c r="B1" t="s">
        <v>24</v>
      </c>
      <c r="E1" s="3" t="s">
        <v>1</v>
      </c>
      <c r="F1" t="s">
        <v>23</v>
      </c>
    </row>
    <row r="3" spans="1:6" x14ac:dyDescent="0.3">
      <c r="A3" s="3" t="s">
        <v>21</v>
      </c>
      <c r="B3" t="s">
        <v>22</v>
      </c>
      <c r="E3" s="3" t="s">
        <v>21</v>
      </c>
      <c r="F3" t="s">
        <v>22</v>
      </c>
    </row>
    <row r="4" spans="1:6" x14ac:dyDescent="0.3">
      <c r="A4" s="4" t="s">
        <v>13</v>
      </c>
      <c r="B4" s="2">
        <v>1600</v>
      </c>
      <c r="E4" s="4" t="s">
        <v>7</v>
      </c>
      <c r="F4" s="2">
        <v>15000</v>
      </c>
    </row>
    <row r="5" spans="1:6" x14ac:dyDescent="0.3">
      <c r="A5" s="4" t="s">
        <v>16</v>
      </c>
      <c r="B5" s="2">
        <v>500</v>
      </c>
      <c r="E5" s="4" t="s">
        <v>34</v>
      </c>
      <c r="F5" s="2">
        <v>800</v>
      </c>
    </row>
    <row r="6" spans="1:6" x14ac:dyDescent="0.3">
      <c r="A6" s="4" t="s">
        <v>14</v>
      </c>
      <c r="B6" s="2">
        <v>800</v>
      </c>
      <c r="E6" s="4" t="s">
        <v>53</v>
      </c>
      <c r="F6" s="2">
        <v>1200</v>
      </c>
    </row>
    <row r="7" spans="1:6" x14ac:dyDescent="0.3">
      <c r="A7" s="4" t="s">
        <v>18</v>
      </c>
      <c r="B7" s="2">
        <v>330</v>
      </c>
      <c r="E7" s="4" t="s">
        <v>66</v>
      </c>
      <c r="F7" s="2">
        <v>1500</v>
      </c>
    </row>
    <row r="8" spans="1:6" x14ac:dyDescent="0.3">
      <c r="A8" s="4" t="s">
        <v>19</v>
      </c>
      <c r="B8" s="2">
        <v>570</v>
      </c>
      <c r="E8" s="4" t="s">
        <v>20</v>
      </c>
      <c r="F8" s="2">
        <v>18500</v>
      </c>
    </row>
    <row r="9" spans="1:6" x14ac:dyDescent="0.3">
      <c r="A9" s="4" t="s">
        <v>28</v>
      </c>
      <c r="B9" s="2">
        <v>970</v>
      </c>
    </row>
    <row r="10" spans="1:6" x14ac:dyDescent="0.3">
      <c r="A10" s="4" t="s">
        <v>30</v>
      </c>
      <c r="B10" s="2">
        <v>1100</v>
      </c>
    </row>
    <row r="11" spans="1:6" x14ac:dyDescent="0.3">
      <c r="A11" s="4" t="s">
        <v>32</v>
      </c>
      <c r="B11" s="2">
        <v>1500</v>
      </c>
    </row>
    <row r="12" spans="1:6" x14ac:dyDescent="0.3">
      <c r="A12" s="4" t="s">
        <v>36</v>
      </c>
      <c r="B12" s="2">
        <v>1400</v>
      </c>
    </row>
    <row r="13" spans="1:6" x14ac:dyDescent="0.3">
      <c r="A13" s="4" t="s">
        <v>38</v>
      </c>
      <c r="B13" s="2">
        <v>3000</v>
      </c>
    </row>
    <row r="14" spans="1:6" x14ac:dyDescent="0.3">
      <c r="A14" s="4" t="s">
        <v>40</v>
      </c>
      <c r="B14" s="2">
        <v>1250</v>
      </c>
    </row>
    <row r="15" spans="1:6" x14ac:dyDescent="0.3">
      <c r="A15" s="4" t="s">
        <v>42</v>
      </c>
      <c r="B15" s="2">
        <v>830</v>
      </c>
    </row>
    <row r="16" spans="1:6" x14ac:dyDescent="0.3">
      <c r="A16" s="4" t="s">
        <v>45</v>
      </c>
      <c r="B16" s="2">
        <v>350</v>
      </c>
    </row>
    <row r="17" spans="1:2" x14ac:dyDescent="0.3">
      <c r="A17" s="4" t="s">
        <v>47</v>
      </c>
      <c r="B17" s="2">
        <v>1250</v>
      </c>
    </row>
    <row r="18" spans="1:2" x14ac:dyDescent="0.3">
      <c r="A18" s="4" t="s">
        <v>57</v>
      </c>
      <c r="B18" s="2">
        <v>250</v>
      </c>
    </row>
    <row r="19" spans="1:2" x14ac:dyDescent="0.3">
      <c r="A19" s="4" t="s">
        <v>20</v>
      </c>
      <c r="B19" s="2">
        <v>15700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DD89-F548-4FF9-AC4B-FD57841BA4BF}">
  <dimension ref="A1:U1"/>
  <sheetViews>
    <sheetView showGridLines="0" showRowColHeaders="0" tabSelected="1" zoomScale="69" zoomScaleNormal="69" workbookViewId="0">
      <selection activeCell="U18" sqref="U18"/>
    </sheetView>
  </sheetViews>
  <sheetFormatPr defaultColWidth="0" defaultRowHeight="14.4" x14ac:dyDescent="0.3"/>
  <cols>
    <col min="1" max="1" width="44.44140625" style="6" customWidth="1"/>
    <col min="2" max="21" width="8.88671875" style="5" customWidth="1"/>
    <col min="22" max="16384" width="8.88671875" hidden="1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D66B-1D34-47ED-A9F6-1CF9697FC1CE}">
  <sheetPr>
    <tabColor theme="4"/>
  </sheetPr>
  <dimension ref="C1:D16"/>
  <sheetViews>
    <sheetView workbookViewId="0">
      <selection activeCell="C3" sqref="C3:D4"/>
    </sheetView>
  </sheetViews>
  <sheetFormatPr defaultRowHeight="14.4" x14ac:dyDescent="0.3"/>
  <cols>
    <col min="3" max="3" width="19.77734375" customWidth="1"/>
    <col min="4" max="4" width="19.33203125" customWidth="1"/>
  </cols>
  <sheetData>
    <row r="1" spans="3:4" s="12" customFormat="1" ht="66" customHeight="1" x14ac:dyDescent="0.3"/>
    <row r="3" spans="3:4" x14ac:dyDescent="0.3">
      <c r="C3" s="16" t="s">
        <v>78</v>
      </c>
      <c r="D3" s="15">
        <f>SUM(Tabela2[Depósito Reservado])</f>
        <v>1845</v>
      </c>
    </row>
    <row r="4" spans="3:4" x14ac:dyDescent="0.3">
      <c r="C4" s="16" t="s">
        <v>79</v>
      </c>
      <c r="D4" s="14">
        <v>20000</v>
      </c>
    </row>
    <row r="6" spans="3:4" x14ac:dyDescent="0.3">
      <c r="C6" s="13" t="s">
        <v>76</v>
      </c>
      <c r="D6" s="13" t="s">
        <v>77</v>
      </c>
    </row>
    <row r="7" spans="3:4" x14ac:dyDescent="0.3">
      <c r="C7" s="1">
        <v>45603</v>
      </c>
      <c r="D7" s="14">
        <v>50</v>
      </c>
    </row>
    <row r="8" spans="3:4" x14ac:dyDescent="0.3">
      <c r="C8" s="1">
        <v>45604</v>
      </c>
      <c r="D8" s="14">
        <v>171</v>
      </c>
    </row>
    <row r="9" spans="3:4" x14ac:dyDescent="0.3">
      <c r="C9" s="1">
        <v>45605</v>
      </c>
      <c r="D9" s="14">
        <v>36</v>
      </c>
    </row>
    <row r="10" spans="3:4" x14ac:dyDescent="0.3">
      <c r="C10" s="1">
        <v>45606</v>
      </c>
      <c r="D10" s="14">
        <v>288</v>
      </c>
    </row>
    <row r="11" spans="3:4" x14ac:dyDescent="0.3">
      <c r="C11" s="1">
        <v>45607</v>
      </c>
      <c r="D11" s="14">
        <v>324</v>
      </c>
    </row>
    <row r="12" spans="3:4" x14ac:dyDescent="0.3">
      <c r="C12" s="1">
        <v>45608</v>
      </c>
      <c r="D12" s="14">
        <v>180</v>
      </c>
    </row>
    <row r="13" spans="3:4" x14ac:dyDescent="0.3">
      <c r="C13" s="1">
        <v>45609</v>
      </c>
      <c r="D13" s="14">
        <v>291</v>
      </c>
    </row>
    <row r="14" spans="3:4" x14ac:dyDescent="0.3">
      <c r="C14" s="1">
        <v>45610</v>
      </c>
      <c r="D14" s="14">
        <v>156</v>
      </c>
    </row>
    <row r="15" spans="3:4" x14ac:dyDescent="0.3">
      <c r="C15" s="1">
        <v>45611</v>
      </c>
      <c r="D15" s="14">
        <v>97</v>
      </c>
    </row>
    <row r="16" spans="3:4" x14ac:dyDescent="0.3">
      <c r="C16" s="1">
        <v>45612</v>
      </c>
      <c r="D16" s="14">
        <v>252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Controler</vt:lpstr>
      <vt:lpstr>Dashboard</vt:lpstr>
      <vt:lpstr>Caixinha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DA ROCHA RODRIGUES</dc:creator>
  <cp:lastModifiedBy>KATIA DA ROCHA RODRIGUES</cp:lastModifiedBy>
  <dcterms:created xsi:type="dcterms:W3CDTF">2025-01-08T12:44:39Z</dcterms:created>
  <dcterms:modified xsi:type="dcterms:W3CDTF">2025-01-13T11:58:00Z</dcterms:modified>
</cp:coreProperties>
</file>